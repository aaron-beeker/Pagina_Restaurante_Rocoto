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0c685a36328821/^Nrocoto/- empresas/-AMILLA INGENIEROS SAC/"/>
    </mc:Choice>
  </mc:AlternateContent>
  <xr:revisionPtr revIDLastSave="1778" documentId="13_ncr:1_{366848AB-7D33-4ADF-A512-30E925DB49EE}" xr6:coauthVersionLast="47" xr6:coauthVersionMax="47" xr10:uidLastSave="{7C4E3EBF-60CC-4073-B0A0-D5061EF037B1}"/>
  <bookViews>
    <workbookView xWindow="-108" yWindow="-108" windowWidth="23256" windowHeight="13176" xr2:uid="{00000000-000D-0000-FFFF-FFFF00000000}"/>
  </bookViews>
  <sheets>
    <sheet name="FEBRERO" sheetId="6" r:id="rId1"/>
  </sheets>
  <definedNames>
    <definedName name="_xlnm._FilterDatabase" localSheetId="0" hidden="1">FEBRERO!$A$11:$CY$94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89" i="6" l="1"/>
  <c r="CT90" i="6"/>
  <c r="CT91" i="6"/>
  <c r="CW16" i="6"/>
  <c r="CU16" i="6"/>
  <c r="CT16" i="6"/>
  <c r="CT48" i="6"/>
  <c r="CU48" i="6"/>
  <c r="CW48" i="6"/>
  <c r="CW56" i="6"/>
  <c r="CW52" i="6"/>
  <c r="CW43" i="6"/>
  <c r="CW61" i="6"/>
  <c r="CW60" i="6"/>
  <c r="CW50" i="6"/>
  <c r="CW46" i="6"/>
  <c r="CW47" i="6"/>
  <c r="CW65" i="6"/>
  <c r="CU56" i="6"/>
  <c r="CU52" i="6"/>
  <c r="CU43" i="6"/>
  <c r="CU61" i="6"/>
  <c r="CU60" i="6"/>
  <c r="CU50" i="6"/>
  <c r="CU46" i="6"/>
  <c r="CU47" i="6"/>
  <c r="CU65" i="6"/>
  <c r="CT56" i="6"/>
  <c r="CT52" i="6"/>
  <c r="CT43" i="6"/>
  <c r="CT61" i="6"/>
  <c r="CT60" i="6"/>
  <c r="CT50" i="6"/>
  <c r="CT46" i="6"/>
  <c r="CT47" i="6"/>
  <c r="CT65" i="6"/>
  <c r="CW41" i="6"/>
  <c r="CW81" i="6"/>
  <c r="CW64" i="6"/>
  <c r="CW19" i="6"/>
  <c r="CW89" i="6"/>
  <c r="CW45" i="6"/>
  <c r="CW27" i="6"/>
  <c r="CW57" i="6"/>
  <c r="CW90" i="6"/>
  <c r="CW91" i="6"/>
  <c r="CU41" i="6"/>
  <c r="CU81" i="6"/>
  <c r="CU64" i="6"/>
  <c r="CU19" i="6"/>
  <c r="CU89" i="6"/>
  <c r="CU45" i="6"/>
  <c r="CU27" i="6"/>
  <c r="CU57" i="6"/>
  <c r="CU90" i="6"/>
  <c r="CU91" i="6"/>
  <c r="CT41" i="6"/>
  <c r="CT81" i="6"/>
  <c r="CT64" i="6"/>
  <c r="CT19" i="6"/>
  <c r="CT45" i="6"/>
  <c r="CT27" i="6"/>
  <c r="CT57" i="6"/>
  <c r="CV90" i="6"/>
  <c r="CV92" i="6" s="1"/>
  <c r="CW39" i="6"/>
  <c r="CU39" i="6"/>
  <c r="CT39" i="6"/>
  <c r="CU80" i="6"/>
  <c r="CU36" i="6"/>
  <c r="CU82" i="6"/>
  <c r="CU83" i="6"/>
  <c r="CU84" i="6"/>
  <c r="CU85" i="6"/>
  <c r="CU87" i="6"/>
  <c r="CU88" i="6"/>
  <c r="CT80" i="6"/>
  <c r="CT36" i="6"/>
  <c r="CT82" i="6"/>
  <c r="CT83" i="6"/>
  <c r="CT84" i="6"/>
  <c r="CT85" i="6"/>
  <c r="CT87" i="6"/>
  <c r="CT88" i="6"/>
  <c r="CK92" i="6"/>
  <c r="CL92" i="6"/>
  <c r="CM92" i="6"/>
  <c r="CN92" i="6"/>
  <c r="CO92" i="6"/>
  <c r="CP92" i="6"/>
  <c r="CQ92" i="6"/>
  <c r="CR92" i="6"/>
  <c r="CS92" i="6"/>
  <c r="CW14" i="6"/>
  <c r="CW15" i="6"/>
  <c r="CW17" i="6"/>
  <c r="CW18" i="6"/>
  <c r="CW20" i="6"/>
  <c r="CW21" i="6"/>
  <c r="CW22" i="6"/>
  <c r="CW86" i="6"/>
  <c r="CW23" i="6"/>
  <c r="CW24" i="6"/>
  <c r="CW25" i="6"/>
  <c r="CW26" i="6"/>
  <c r="CW28" i="6"/>
  <c r="CW29" i="6"/>
  <c r="CW30" i="6"/>
  <c r="CW31" i="6"/>
  <c r="CW32" i="6"/>
  <c r="CW33" i="6"/>
  <c r="CW37" i="6"/>
  <c r="CW34" i="6"/>
  <c r="CW35" i="6"/>
  <c r="CW38" i="6"/>
  <c r="CW40" i="6"/>
  <c r="CW42" i="6"/>
  <c r="CW44" i="6"/>
  <c r="CW49" i="6"/>
  <c r="CW51" i="6"/>
  <c r="CW53" i="6"/>
  <c r="CW54" i="6"/>
  <c r="CW55" i="6"/>
  <c r="CW58" i="6"/>
  <c r="CW13" i="6"/>
  <c r="CW59" i="6"/>
  <c r="CW62" i="6"/>
  <c r="CW63" i="6"/>
  <c r="CW66" i="6"/>
  <c r="CW67" i="6"/>
  <c r="CW68" i="6"/>
  <c r="CW69" i="6"/>
  <c r="CW70" i="6"/>
  <c r="CW72" i="6"/>
  <c r="CW71" i="6"/>
  <c r="CW73" i="6"/>
  <c r="CW74" i="6"/>
  <c r="CW75" i="6"/>
  <c r="CW76" i="6"/>
  <c r="CW77" i="6"/>
  <c r="CW78" i="6"/>
  <c r="CW79" i="6"/>
  <c r="CW80" i="6"/>
  <c r="CW36" i="6"/>
  <c r="CW82" i="6"/>
  <c r="CW83" i="6"/>
  <c r="CW84" i="6"/>
  <c r="CW85" i="6"/>
  <c r="CW87" i="6"/>
  <c r="CW88" i="6"/>
  <c r="CU14" i="6"/>
  <c r="CU15" i="6"/>
  <c r="CU17" i="6"/>
  <c r="CU18" i="6"/>
  <c r="CU20" i="6"/>
  <c r="CU21" i="6"/>
  <c r="CU22" i="6"/>
  <c r="CU86" i="6"/>
  <c r="CU23" i="6"/>
  <c r="CU24" i="6"/>
  <c r="CU25" i="6"/>
  <c r="CU26" i="6"/>
  <c r="CU28" i="6"/>
  <c r="CU29" i="6"/>
  <c r="CU30" i="6"/>
  <c r="CU31" i="6"/>
  <c r="CU32" i="6"/>
  <c r="CU33" i="6"/>
  <c r="CU37" i="6"/>
  <c r="CU34" i="6"/>
  <c r="CU35" i="6"/>
  <c r="CU38" i="6"/>
  <c r="CU40" i="6"/>
  <c r="CU42" i="6"/>
  <c r="CU44" i="6"/>
  <c r="CU49" i="6"/>
  <c r="CU51" i="6"/>
  <c r="CU53" i="6"/>
  <c r="CU54" i="6"/>
  <c r="CU55" i="6"/>
  <c r="CU58" i="6"/>
  <c r="CU13" i="6"/>
  <c r="CU59" i="6"/>
  <c r="CU62" i="6"/>
  <c r="CU63" i="6"/>
  <c r="CU66" i="6"/>
  <c r="CU67" i="6"/>
  <c r="CU68" i="6"/>
  <c r="CU69" i="6"/>
  <c r="CU70" i="6"/>
  <c r="CU72" i="6"/>
  <c r="CU71" i="6"/>
  <c r="CU73" i="6"/>
  <c r="CU74" i="6"/>
  <c r="CU75" i="6"/>
  <c r="CU76" i="6"/>
  <c r="CU77" i="6"/>
  <c r="CU78" i="6"/>
  <c r="CU79" i="6"/>
  <c r="CT14" i="6"/>
  <c r="CT15" i="6"/>
  <c r="CT17" i="6"/>
  <c r="CT18" i="6"/>
  <c r="CT20" i="6"/>
  <c r="CT21" i="6"/>
  <c r="CT22" i="6"/>
  <c r="CT86" i="6"/>
  <c r="CT23" i="6"/>
  <c r="CT24" i="6"/>
  <c r="CT25" i="6"/>
  <c r="CT26" i="6"/>
  <c r="CT28" i="6"/>
  <c r="CT29" i="6"/>
  <c r="CT30" i="6"/>
  <c r="CT31" i="6"/>
  <c r="CT32" i="6"/>
  <c r="CT33" i="6"/>
  <c r="CT37" i="6"/>
  <c r="CT34" i="6"/>
  <c r="CT35" i="6"/>
  <c r="CT38" i="6"/>
  <c r="CT40" i="6"/>
  <c r="CT42" i="6"/>
  <c r="CT44" i="6"/>
  <c r="CT49" i="6"/>
  <c r="CT51" i="6"/>
  <c r="CT53" i="6"/>
  <c r="CT54" i="6"/>
  <c r="CT55" i="6"/>
  <c r="CT58" i="6"/>
  <c r="CT13" i="6"/>
  <c r="CT59" i="6"/>
  <c r="CT62" i="6"/>
  <c r="CT63" i="6"/>
  <c r="CT66" i="6"/>
  <c r="CT67" i="6"/>
  <c r="CT68" i="6"/>
  <c r="CT69" i="6"/>
  <c r="CT70" i="6"/>
  <c r="CT72" i="6"/>
  <c r="CT71" i="6"/>
  <c r="CT73" i="6"/>
  <c r="CT74" i="6"/>
  <c r="CT75" i="6"/>
  <c r="CT76" i="6"/>
  <c r="CT77" i="6"/>
  <c r="CT78" i="6"/>
  <c r="CT79" i="6"/>
  <c r="CW12" i="6"/>
  <c r="CU12" i="6"/>
  <c r="CT12" i="6"/>
  <c r="D101" i="6" l="1"/>
  <c r="CT92" i="6"/>
  <c r="CX71" i="6"/>
  <c r="CV94" i="6" l="1"/>
  <c r="E101" i="6"/>
  <c r="BZ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BH92" i="6"/>
  <c r="BI92" i="6"/>
  <c r="BJ92" i="6"/>
  <c r="BK92" i="6"/>
  <c r="BL92" i="6"/>
  <c r="BM92" i="6"/>
  <c r="BN92" i="6"/>
  <c r="BO92" i="6"/>
  <c r="BP92" i="6"/>
  <c r="BQ92" i="6"/>
  <c r="BR92" i="6"/>
  <c r="BS92" i="6"/>
  <c r="BT92" i="6"/>
  <c r="BU92" i="6"/>
  <c r="BV92" i="6"/>
  <c r="BW92" i="6"/>
  <c r="BX92" i="6"/>
  <c r="BY92" i="6"/>
  <c r="CA92" i="6"/>
  <c r="CB92" i="6"/>
  <c r="CC92" i="6"/>
  <c r="CD92" i="6"/>
  <c r="CE92" i="6"/>
  <c r="CF92" i="6"/>
  <c r="CG92" i="6"/>
  <c r="CH92" i="6"/>
  <c r="CI92" i="6"/>
  <c r="CJ92" i="6"/>
  <c r="G92" i="6"/>
  <c r="F92" i="6"/>
  <c r="E92" i="6"/>
  <c r="CX31" i="6"/>
  <c r="CX66" i="6"/>
  <c r="CX26" i="6"/>
  <c r="CX23" i="6"/>
  <c r="CX37" i="6"/>
  <c r="CX24" i="6"/>
  <c r="CX25" i="6"/>
  <c r="CX35" i="6"/>
  <c r="CX12" i="6"/>
  <c r="CX92" i="6" l="1"/>
  <c r="CT94" i="6"/>
  <c r="CW92" i="6"/>
  <c r="CW94" i="6" s="1"/>
  <c r="CU92" i="6"/>
  <c r="CU94" i="6" s="1"/>
  <c r="D98" i="6"/>
  <c r="E98" i="6" s="1"/>
  <c r="D99" i="6"/>
  <c r="E99" i="6" s="1"/>
  <c r="D100" i="6"/>
  <c r="E100" i="6" s="1"/>
  <c r="E102" i="6" l="1"/>
  <c r="CY94" i="6"/>
</calcChain>
</file>

<file path=xl/sharedStrings.xml><?xml version="1.0" encoding="utf-8"?>
<sst xmlns="http://schemas.openxmlformats.org/spreadsheetml/2006/main" count="274" uniqueCount="125">
  <si>
    <t>ITEM</t>
  </si>
  <si>
    <t>DOMINGO</t>
  </si>
  <si>
    <t>AYALA ESCALANTE, HUMBERTO ABEL.</t>
  </si>
  <si>
    <t>SANTISTEBAN LLUEN, JIMY VLADIMIR</t>
  </si>
  <si>
    <t>CRUZ ALDANA, AURELIO COPERTINO.</t>
  </si>
  <si>
    <t>DESAYUNO</t>
  </si>
  <si>
    <t>ALMUERZO</t>
  </si>
  <si>
    <t>CENA</t>
  </si>
  <si>
    <t>PROYECTO</t>
  </si>
  <si>
    <t>CLIENTE</t>
  </si>
  <si>
    <t>VARI ENERGIA SAC</t>
  </si>
  <si>
    <t>SUPERVISION</t>
  </si>
  <si>
    <t>AMILLA INGENIEROS SAC</t>
  </si>
  <si>
    <t xml:space="preserve">FECHA </t>
  </si>
  <si>
    <t>LINEA DE TRANSMISION 138 KV KIMIRI - CAMPAS</t>
  </si>
  <si>
    <t>VALDIVIA ZAVALETA, MIGUEL ANGEL</t>
  </si>
  <si>
    <t>OPERARIO</t>
  </si>
  <si>
    <t>AYUDANTE</t>
  </si>
  <si>
    <t>CONDUCTOR</t>
  </si>
  <si>
    <t>TOTAL</t>
  </si>
  <si>
    <t>TOTAL DESAYUNO</t>
  </si>
  <si>
    <t>TOTAL ALMUERZO</t>
  </si>
  <si>
    <t>TOTAL CENA</t>
  </si>
  <si>
    <t>JEFE OFICINA TECNICA</t>
  </si>
  <si>
    <t>JEFE SSOMA</t>
  </si>
  <si>
    <t>CARGO</t>
  </si>
  <si>
    <t>GERENTE DE OPERACIONES</t>
  </si>
  <si>
    <t>SUPERVISOR CALIDAD</t>
  </si>
  <si>
    <t>QUISPE VASQUEZ, JAKELYN SOLEDAD</t>
  </si>
  <si>
    <t>CUADRO DE CONTROL ALIMENTACION</t>
  </si>
  <si>
    <t>APELLIDOS Y NOMBRES</t>
  </si>
  <si>
    <t>JUEVES</t>
  </si>
  <si>
    <t>VIERNES</t>
  </si>
  <si>
    <t>LUNES</t>
  </si>
  <si>
    <t>MARTES</t>
  </si>
  <si>
    <t>PARADO NAULA, MARTIN</t>
  </si>
  <si>
    <t>AGUIRRE GARCIA, LHIA JACQUELIN</t>
  </si>
  <si>
    <t>ADMINISTRADORA</t>
  </si>
  <si>
    <t>NO ASISTIO</t>
  </si>
  <si>
    <t>ASISTIO</t>
  </si>
  <si>
    <t>CARDENAS TORRES MELISSA</t>
  </si>
  <si>
    <t>MALDONADO ZUUASNABAR, LOT WALTER</t>
  </si>
  <si>
    <t>FORANEO</t>
  </si>
  <si>
    <t>ZONA</t>
  </si>
  <si>
    <t>LA MERCED</t>
  </si>
  <si>
    <t xml:space="preserve">PREVENCIONISTA </t>
  </si>
  <si>
    <t>POMA GARCIA JULIO DAGOBERTO</t>
  </si>
  <si>
    <t>EXTRAS</t>
  </si>
  <si>
    <t>TOTAL CENA EXTRA</t>
  </si>
  <si>
    <t>ALMUERZO EXTRA</t>
  </si>
  <si>
    <t>MIÉRCOLES</t>
  </si>
  <si>
    <t>SÁBADO</t>
  </si>
  <si>
    <t>CARLIN PRADO DILMER</t>
  </si>
  <si>
    <t>QUISPE BENAVIDEZ WILMER</t>
  </si>
  <si>
    <t>ACUÑA PAULINO JEAN B.</t>
  </si>
  <si>
    <t>ALEGRE ASCONA DARWIN E.</t>
  </si>
  <si>
    <t>ROBLES JACINTO FRANK</t>
  </si>
  <si>
    <t>MACEDO ASPAJO JULIO C.</t>
  </si>
  <si>
    <t>VASQUES ESPINOZA ELBIO C.</t>
  </si>
  <si>
    <t>TINCO CUAREZMA MARIO G.</t>
  </si>
  <si>
    <t>GOMEZ LAPA OCTAVIO</t>
  </si>
  <si>
    <t>TRUJILLO VELA WILMER</t>
  </si>
  <si>
    <t>CENTURION ISUIZA MARCOS</t>
  </si>
  <si>
    <t>TINGO CUARESMA LUIS</t>
  </si>
  <si>
    <t>BENAVIDEZ QUISPE JHONATAN</t>
  </si>
  <si>
    <t>MACARIO SIMON DURANO</t>
  </si>
  <si>
    <t>CARRASCO JUAPE IVAN MARIA</t>
  </si>
  <si>
    <t>REGINALDO PONGO GEORGE</t>
  </si>
  <si>
    <t>EGOAVIL ESPINOZA SERGIO</t>
  </si>
  <si>
    <t>ROBLES GARCIA MIKIEL</t>
  </si>
  <si>
    <t>ARONI ESPINOZA ELBERTHO</t>
  </si>
  <si>
    <t>NUÑEZ LIZANA JESUS</t>
  </si>
  <si>
    <t>ALTAMIRANO FUENTES EDUARDO</t>
  </si>
  <si>
    <t>CHIPANA BRYAN</t>
  </si>
  <si>
    <t>LIMACO QUISPE ROBERTO</t>
  </si>
  <si>
    <t>CASAS MARIN ALEXANDER</t>
  </si>
  <si>
    <t>CASAS DIAZ SANTOS</t>
  </si>
  <si>
    <t xml:space="preserve">TACURI SALCEDO JUNIOR </t>
  </si>
  <si>
    <t>MELVIN LEON</t>
  </si>
  <si>
    <t>RODRIGUEZ EDINSON</t>
  </si>
  <si>
    <t>RUIZ GUTIERREZ ABELARDO</t>
  </si>
  <si>
    <t>PEREZ ARMAS CLEVER</t>
  </si>
  <si>
    <t>ESPIRITU OYIYA JEIMO</t>
  </si>
  <si>
    <t>SULLA CHAVEZ JULIO</t>
  </si>
  <si>
    <t xml:space="preserve">PONGO TOMÁS JUAN </t>
  </si>
  <si>
    <t>OTINIANO JACINTO FREDY</t>
  </si>
  <si>
    <t xml:space="preserve">MEZA ALIAGA ULISES </t>
  </si>
  <si>
    <t>SALVADOR RIVERA RODRY</t>
  </si>
  <si>
    <t>CIERTO TRINIDAD ELMER</t>
  </si>
  <si>
    <t>CELENTINO DIAZ</t>
  </si>
  <si>
    <t>CONTRERAS ARTURO</t>
  </si>
  <si>
    <t>ASTO DIAZ ALEGRE ERICK</t>
  </si>
  <si>
    <t>LANDA PIZARRO ELVIS</t>
  </si>
  <si>
    <t>EDSON BARZOLA SANCHEZ</t>
  </si>
  <si>
    <t>ALIAGA RIOS JOSE EXILIER</t>
  </si>
  <si>
    <t>MAYORCA DANILO</t>
  </si>
  <si>
    <t>GRIMBER TURPO Q.</t>
  </si>
  <si>
    <t>CARRASCO MONTES DENNIS</t>
  </si>
  <si>
    <t>ARELLAN MARTINEZ WENSY</t>
  </si>
  <si>
    <t>EDWIN JORGE CARRASCO</t>
  </si>
  <si>
    <t>QUISPE  BALDEON ROYER</t>
  </si>
  <si>
    <t>ERASMO CORDOVA</t>
  </si>
  <si>
    <t>SOTO DIAZ PABLO</t>
  </si>
  <si>
    <t>MANUEL</t>
  </si>
  <si>
    <t>P. HERRERIA</t>
  </si>
  <si>
    <t>LLATAS</t>
  </si>
  <si>
    <t>GRÚA -- ALIAS</t>
  </si>
  <si>
    <t>PALOMINO</t>
  </si>
  <si>
    <t>ALMUERZOS CAMPOS</t>
  </si>
  <si>
    <t>SUB TOTAL</t>
  </si>
  <si>
    <t>TOTAL:</t>
  </si>
  <si>
    <t>ABRIL DEL 2025</t>
  </si>
  <si>
    <t>NILTON CAPCHA OSCANOA</t>
  </si>
  <si>
    <t>LEANDRO CHURQUIPA</t>
  </si>
  <si>
    <t>JULIO MORALES</t>
  </si>
  <si>
    <t>JORGE ROSAS</t>
  </si>
  <si>
    <t>MILTON GUERRA</t>
  </si>
  <si>
    <t>PEREZ JOSÉ</t>
  </si>
  <si>
    <t>ALIAGA JOSE</t>
  </si>
  <si>
    <t>FERNANDO COLOMBINO</t>
  </si>
  <si>
    <t>AGUILAR. JUAN</t>
  </si>
  <si>
    <t>DANIS VALDIVIA</t>
  </si>
  <si>
    <t>PAEZ  ERIBERTO</t>
  </si>
  <si>
    <t>EDGAR CONDOR</t>
  </si>
  <si>
    <t>TORRES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</si>
</sst>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&quot;S/&quot;\ * #,##0_-;\-&quot;S/&quot;\ * #,##0_-;_-&quot;S/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160">
    <xf numFmtId="0" fontId="0" fillId="0" borderId="0" xfId="0"/>
    <xf numFmtId="0" fontId="2" fillId="0" borderId="14" xfId="0" applyFont="1" applyBorder="1" applyAlignment="1">
      <alignment horizontal="left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8" fillId="0" borderId="9" xfId="0" applyFont="1" applyBorder="1" applyAlignment="1">
      <alignment horizontal="center" vertical="center" textRotation="90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8" fillId="0" borderId="22" xfId="0" applyFont="1" applyBorder="1" applyAlignment="1">
      <alignment horizontal="center" vertical="center" textRotation="90"/>
    </xf>
    <xf numFmtId="0" fontId="0" fillId="0" borderId="23" xfId="0" applyBorder="1"/>
    <xf numFmtId="0" fontId="0" fillId="4" borderId="24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4" xfId="0" applyFont="1" applyBorder="1"/>
    <xf numFmtId="0" fontId="0" fillId="0" borderId="19" xfId="0" applyBorder="1"/>
    <xf numFmtId="0" fontId="10" fillId="10" borderId="22" xfId="0" applyFont="1" applyFill="1" applyBorder="1" applyAlignment="1">
      <alignment horizontal="center" vertical="center" textRotation="90"/>
    </xf>
    <xf numFmtId="0" fontId="10" fillId="13" borderId="22" xfId="0" applyFont="1" applyFill="1" applyBorder="1" applyAlignment="1">
      <alignment horizontal="center" vertical="center" textRotation="90"/>
    </xf>
    <xf numFmtId="0" fontId="10" fillId="11" borderId="22" xfId="0" applyFont="1" applyFill="1" applyBorder="1" applyAlignment="1">
      <alignment horizontal="center" vertical="center" textRotation="90"/>
    </xf>
    <xf numFmtId="0" fontId="10" fillId="15" borderId="22" xfId="0" applyFont="1" applyFill="1" applyBorder="1" applyAlignment="1">
      <alignment horizontal="center" vertical="center" textRotation="90"/>
    </xf>
    <xf numFmtId="0" fontId="10" fillId="14" borderId="22" xfId="0" applyFont="1" applyFill="1" applyBorder="1" applyAlignment="1">
      <alignment horizontal="center" vertical="center" textRotation="90"/>
    </xf>
    <xf numFmtId="0" fontId="10" fillId="12" borderId="22" xfId="0" applyFont="1" applyFill="1" applyBorder="1" applyAlignment="1">
      <alignment horizontal="center" vertical="center" textRotation="90"/>
    </xf>
    <xf numFmtId="0" fontId="10" fillId="6" borderId="22" xfId="0" applyFont="1" applyFill="1" applyBorder="1" applyAlignment="1">
      <alignment horizontal="center" vertical="center" textRotation="90"/>
    </xf>
    <xf numFmtId="0" fontId="0" fillId="0" borderId="23" xfId="0" applyBorder="1" applyAlignment="1">
      <alignment horizontal="center" vertical="center"/>
    </xf>
    <xf numFmtId="0" fontId="0" fillId="16" borderId="0" xfId="0" applyFill="1"/>
    <xf numFmtId="1" fontId="0" fillId="0" borderId="23" xfId="0" applyNumberFormat="1" applyBorder="1" applyAlignment="1">
      <alignment horizontal="center"/>
    </xf>
    <xf numFmtId="0" fontId="8" fillId="0" borderId="4" xfId="0" applyFont="1" applyBorder="1" applyAlignment="1">
      <alignment horizontal="center" vertical="center" textRotation="90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textRotation="90" wrapText="1"/>
    </xf>
    <xf numFmtId="164" fontId="0" fillId="0" borderId="29" xfId="1" applyNumberFormat="1" applyFont="1" applyBorder="1"/>
    <xf numFmtId="0" fontId="2" fillId="0" borderId="32" xfId="0" applyFont="1" applyBorder="1"/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 wrapText="1"/>
    </xf>
    <xf numFmtId="0" fontId="2" fillId="3" borderId="34" xfId="0" applyFont="1" applyFill="1" applyBorder="1" applyAlignment="1">
      <alignment horizontal="left" vertical="center" wrapText="1"/>
    </xf>
    <xf numFmtId="0" fontId="0" fillId="0" borderId="2" xfId="0" applyBorder="1"/>
    <xf numFmtId="0" fontId="0" fillId="9" borderId="23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8" fillId="17" borderId="35" xfId="0" applyFont="1" applyFill="1" applyBorder="1" applyAlignment="1">
      <alignment vertical="center" wrapText="1"/>
    </xf>
    <xf numFmtId="0" fontId="8" fillId="17" borderId="36" xfId="0" applyFont="1" applyFill="1" applyBorder="1" applyAlignment="1">
      <alignment vertical="center" wrapText="1"/>
    </xf>
    <xf numFmtId="0" fontId="8" fillId="17" borderId="18" xfId="0" applyFont="1" applyFill="1" applyBorder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0" fontId="0" fillId="0" borderId="25" xfId="0" applyBorder="1"/>
    <xf numFmtId="44" fontId="0" fillId="0" borderId="23" xfId="1" applyFont="1" applyBorder="1"/>
    <xf numFmtId="0" fontId="0" fillId="8" borderId="23" xfId="0" applyFill="1" applyBorder="1" applyAlignment="1">
      <alignment horizontal="center"/>
    </xf>
    <xf numFmtId="0" fontId="2" fillId="16" borderId="38" xfId="0" applyFont="1" applyFill="1" applyBorder="1" applyAlignment="1">
      <alignment horizontal="left" vertical="center" wrapText="1"/>
    </xf>
    <xf numFmtId="0" fontId="2" fillId="16" borderId="20" xfId="0" applyFont="1" applyFill="1" applyBorder="1" applyAlignment="1">
      <alignment horizontal="center" vertical="center" wrapText="1"/>
    </xf>
    <xf numFmtId="0" fontId="0" fillId="16" borderId="28" xfId="0" applyFill="1" applyBorder="1" applyAlignment="1">
      <alignment horizontal="center" vertical="center"/>
    </xf>
    <xf numFmtId="1" fontId="0" fillId="16" borderId="23" xfId="0" applyNumberFormat="1" applyFill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 textRotation="90"/>
    </xf>
    <xf numFmtId="0" fontId="2" fillId="3" borderId="34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23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23" xfId="0" applyFont="1" applyBorder="1" applyAlignment="1">
      <alignment horizontal="right"/>
    </xf>
    <xf numFmtId="0" fontId="0" fillId="0" borderId="23" xfId="0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1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10" fillId="14" borderId="7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0" fillId="15" borderId="9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9" fillId="7" borderId="1" xfId="0" applyFont="1" applyFill="1" applyBorder="1" applyAlignment="1">
      <alignment horizontal="center" vertical="center" textRotation="255" wrapText="1"/>
    </xf>
    <xf numFmtId="0" fontId="9" fillId="7" borderId="1" xfId="0" applyFont="1" applyFill="1" applyBorder="1" applyAlignment="1">
      <alignment vertical="center" textRotation="255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0" fillId="3" borderId="2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1" xfId="0" applyFill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4">
    <dxf>
      <fill>
        <patternFill>
          <bgColor rgb="FF66FF33"/>
        </patternFill>
      </fill>
    </dxf>
    <dxf>
      <font>
        <color rgb="FFFFC000"/>
      </font>
    </dxf>
    <dxf>
      <font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0000"/>
      <color rgb="FF00FF00"/>
      <color rgb="FFFFA7A7"/>
      <color rgb="FFFF5757"/>
      <color rgb="FF0099FF"/>
      <color rgb="FF00CCFF"/>
      <color rgb="FFFFCCFF"/>
      <color rgb="FFFFFF00"/>
      <color rgb="FF66FF33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2"/>
  <sheetViews>
    <sheetView tabSelected="1" topLeftCell="AT1" zoomScale="85" zoomScaleNormal="85" workbookViewId="0">
      <selection activeCell="CY85" sqref="CY85"/>
    </sheetView>
  </sheetViews>
  <sheetFormatPr baseColWidth="10" defaultColWidth="10.6640625" defaultRowHeight="14.4" x14ac:dyDescent="0.3"/>
  <cols>
    <col min="1" max="1" width="5" customWidth="1"/>
    <col min="2" max="2" width="49.33203125" customWidth="1"/>
    <col min="3" max="3" width="13" customWidth="1"/>
    <col min="4" max="4" width="27.77734375" bestFit="1" customWidth="1"/>
    <col min="5" max="5" width="4" customWidth="1"/>
    <col min="6" max="9" width="3.6640625" customWidth="1"/>
    <col min="10" max="10" width="3.88671875" customWidth="1"/>
    <col min="11" max="97" width="3.6640625" customWidth="1"/>
    <col min="98" max="98" width="6.88671875" customWidth="1"/>
    <col min="99" max="99" width="9.44140625" customWidth="1"/>
    <col min="100" max="100" width="7.5546875" customWidth="1"/>
    <col min="101" max="101" width="6.88671875" customWidth="1"/>
    <col min="102" max="102" width="3" hidden="1" customWidth="1"/>
    <col min="103" max="103" width="13.5546875" customWidth="1"/>
  </cols>
  <sheetData>
    <row r="1" spans="1:102" ht="6.6" customHeight="1" x14ac:dyDescent="0.3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1"/>
    </row>
    <row r="2" spans="1:102" ht="37.200000000000003" customHeight="1" x14ac:dyDescent="0.3">
      <c r="A2" s="142" t="s">
        <v>29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4"/>
    </row>
    <row r="3" spans="1:102" ht="6.6" customHeight="1" thickBot="1" x14ac:dyDescent="0.35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  <c r="BN3" s="146"/>
      <c r="BO3" s="146"/>
      <c r="BP3" s="146"/>
      <c r="BQ3" s="146"/>
      <c r="BR3" s="146"/>
      <c r="BS3" s="146"/>
      <c r="BT3" s="146"/>
      <c r="BU3" s="146"/>
      <c r="BV3" s="146"/>
      <c r="BW3" s="146"/>
      <c r="BX3" s="146"/>
      <c r="BY3" s="146"/>
      <c r="BZ3" s="146"/>
      <c r="CA3" s="146"/>
      <c r="CB3" s="146"/>
      <c r="CC3" s="146"/>
      <c r="CD3" s="146"/>
      <c r="CE3" s="146"/>
      <c r="CF3" s="146"/>
      <c r="CG3" s="146"/>
      <c r="CH3" s="146"/>
      <c r="CI3" s="146"/>
      <c r="CJ3" s="146"/>
      <c r="CK3" s="146"/>
      <c r="CL3" s="146"/>
      <c r="CM3" s="146"/>
      <c r="CN3" s="146"/>
      <c r="CO3" s="146"/>
      <c r="CP3" s="146"/>
      <c r="CQ3" s="146"/>
      <c r="CR3" s="146"/>
      <c r="CS3" s="146"/>
      <c r="CT3" s="146"/>
      <c r="CU3" s="146"/>
      <c r="CV3" s="146"/>
      <c r="CW3" s="146"/>
      <c r="CX3" s="147"/>
    </row>
    <row r="4" spans="1:102" ht="18.600000000000001" customHeight="1" thickBot="1" x14ac:dyDescent="0.35">
      <c r="A4" s="134" t="s">
        <v>8</v>
      </c>
      <c r="B4" s="135"/>
      <c r="C4" s="11"/>
      <c r="D4" s="136" t="s">
        <v>14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8"/>
    </row>
    <row r="5" spans="1:102" ht="15" thickBot="1" x14ac:dyDescent="0.35">
      <c r="A5" s="109" t="s">
        <v>9</v>
      </c>
      <c r="B5" s="110"/>
      <c r="C5" s="12"/>
      <c r="D5" s="111" t="s">
        <v>10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3"/>
    </row>
    <row r="6" spans="1:102" ht="15" thickBot="1" x14ac:dyDescent="0.35">
      <c r="A6" s="109" t="s">
        <v>11</v>
      </c>
      <c r="B6" s="110"/>
      <c r="C6" s="12"/>
      <c r="D6" s="111" t="s">
        <v>12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3"/>
    </row>
    <row r="7" spans="1:102" ht="15" thickBot="1" x14ac:dyDescent="0.35">
      <c r="A7" s="114" t="s">
        <v>13</v>
      </c>
      <c r="B7" s="115"/>
      <c r="C7" s="13"/>
      <c r="D7" s="111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112"/>
      <c r="BW7" s="112"/>
      <c r="BX7" s="112"/>
      <c r="BY7" s="112"/>
      <c r="BZ7" s="112"/>
      <c r="CA7" s="112"/>
      <c r="CB7" s="112"/>
      <c r="CC7" s="112"/>
      <c r="CD7" s="112"/>
      <c r="CE7" s="112"/>
      <c r="CF7" s="112"/>
      <c r="CG7" s="112"/>
      <c r="CH7" s="112"/>
      <c r="CI7" s="112"/>
      <c r="CJ7" s="112"/>
      <c r="CK7" s="112"/>
      <c r="CL7" s="112"/>
      <c r="CM7" s="112"/>
      <c r="CN7" s="112"/>
      <c r="CO7" s="112"/>
      <c r="CP7" s="112"/>
      <c r="CQ7" s="112"/>
      <c r="CR7" s="112"/>
      <c r="CS7" s="112"/>
      <c r="CT7" s="112"/>
      <c r="CU7" s="112"/>
      <c r="CV7" s="112"/>
      <c r="CW7" s="112"/>
      <c r="CX7" s="113"/>
    </row>
    <row r="8" spans="1:102" ht="25.95" customHeight="1" thickBot="1" x14ac:dyDescent="0.35">
      <c r="A8" s="116" t="s">
        <v>0</v>
      </c>
      <c r="B8" s="148" t="s">
        <v>30</v>
      </c>
      <c r="C8" s="105"/>
      <c r="D8" s="118" t="s">
        <v>25</v>
      </c>
      <c r="E8" s="157" t="s">
        <v>111</v>
      </c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9"/>
      <c r="CT8" s="121" t="s">
        <v>19</v>
      </c>
      <c r="CU8" s="122"/>
      <c r="CV8" s="122"/>
      <c r="CW8" s="122"/>
      <c r="CX8" s="123"/>
    </row>
    <row r="9" spans="1:102" ht="60.6" customHeight="1" thickBot="1" x14ac:dyDescent="0.35">
      <c r="A9" s="116"/>
      <c r="B9" s="149"/>
      <c r="C9" s="106"/>
      <c r="D9" s="118"/>
      <c r="E9" s="102" t="s">
        <v>34</v>
      </c>
      <c r="F9" s="103"/>
      <c r="G9" s="104"/>
      <c r="H9" s="128" t="s">
        <v>50</v>
      </c>
      <c r="I9" s="129"/>
      <c r="J9" s="130"/>
      <c r="K9" s="92" t="s">
        <v>31</v>
      </c>
      <c r="L9" s="93"/>
      <c r="M9" s="94"/>
      <c r="N9" s="99" t="s">
        <v>32</v>
      </c>
      <c r="O9" s="100"/>
      <c r="P9" s="101"/>
      <c r="Q9" s="131" t="s">
        <v>51</v>
      </c>
      <c r="R9" s="132"/>
      <c r="S9" s="133"/>
      <c r="T9" s="95" t="s">
        <v>1</v>
      </c>
      <c r="U9" s="96"/>
      <c r="V9" s="97"/>
      <c r="W9" s="87" t="s">
        <v>33</v>
      </c>
      <c r="X9" s="88"/>
      <c r="Y9" s="89"/>
      <c r="Z9" s="102" t="s">
        <v>34</v>
      </c>
      <c r="AA9" s="103"/>
      <c r="AB9" s="104"/>
      <c r="AC9" s="128" t="s">
        <v>50</v>
      </c>
      <c r="AD9" s="129"/>
      <c r="AE9" s="130"/>
      <c r="AF9" s="92" t="s">
        <v>31</v>
      </c>
      <c r="AG9" s="93"/>
      <c r="AH9" s="94"/>
      <c r="AI9" s="99" t="s">
        <v>32</v>
      </c>
      <c r="AJ9" s="100"/>
      <c r="AK9" s="101"/>
      <c r="AL9" s="131" t="s">
        <v>51</v>
      </c>
      <c r="AM9" s="132"/>
      <c r="AN9" s="133"/>
      <c r="AO9" s="95" t="s">
        <v>1</v>
      </c>
      <c r="AP9" s="96"/>
      <c r="AQ9" s="97"/>
      <c r="AR9" s="87" t="s">
        <v>33</v>
      </c>
      <c r="AS9" s="88"/>
      <c r="AT9" s="89"/>
      <c r="AU9" s="102" t="s">
        <v>34</v>
      </c>
      <c r="AV9" s="103"/>
      <c r="AW9" s="104"/>
      <c r="AX9" s="128" t="s">
        <v>50</v>
      </c>
      <c r="AY9" s="129"/>
      <c r="AZ9" s="130"/>
      <c r="BA9" s="92" t="s">
        <v>31</v>
      </c>
      <c r="BB9" s="93"/>
      <c r="BC9" s="94"/>
      <c r="BD9" s="99" t="s">
        <v>32</v>
      </c>
      <c r="BE9" s="100"/>
      <c r="BF9" s="101"/>
      <c r="BG9" s="131" t="s">
        <v>51</v>
      </c>
      <c r="BH9" s="132"/>
      <c r="BI9" s="133"/>
      <c r="BJ9" s="95" t="s">
        <v>1</v>
      </c>
      <c r="BK9" s="96"/>
      <c r="BL9" s="97"/>
      <c r="BM9" s="87" t="s">
        <v>33</v>
      </c>
      <c r="BN9" s="88"/>
      <c r="BO9" s="89"/>
      <c r="BP9" s="102" t="s">
        <v>34</v>
      </c>
      <c r="BQ9" s="103"/>
      <c r="BR9" s="104"/>
      <c r="BS9" s="128" t="s">
        <v>50</v>
      </c>
      <c r="BT9" s="129"/>
      <c r="BU9" s="130"/>
      <c r="BV9" s="92" t="s">
        <v>31</v>
      </c>
      <c r="BW9" s="93"/>
      <c r="BX9" s="94"/>
      <c r="BY9" s="99" t="s">
        <v>32</v>
      </c>
      <c r="BZ9" s="100"/>
      <c r="CA9" s="101"/>
      <c r="CB9" s="131" t="s">
        <v>51</v>
      </c>
      <c r="CC9" s="132"/>
      <c r="CD9" s="133"/>
      <c r="CE9" s="95" t="s">
        <v>1</v>
      </c>
      <c r="CF9" s="96"/>
      <c r="CG9" s="97"/>
      <c r="CH9" s="87" t="s">
        <v>33</v>
      </c>
      <c r="CI9" s="88"/>
      <c r="CJ9" s="89"/>
      <c r="CK9" s="102" t="s">
        <v>34</v>
      </c>
      <c r="CL9" s="103"/>
      <c r="CM9" s="104"/>
      <c r="CN9" s="128" t="s">
        <v>50</v>
      </c>
      <c r="CO9" s="129"/>
      <c r="CP9" s="130"/>
      <c r="CQ9" s="154"/>
      <c r="CR9" s="155"/>
      <c r="CS9" s="156"/>
      <c r="CT9" s="124"/>
      <c r="CU9" s="124"/>
      <c r="CV9" s="124"/>
      <c r="CW9" s="124"/>
      <c r="CX9" s="125"/>
    </row>
    <row r="10" spans="1:102" ht="24" customHeight="1" thickBot="1" x14ac:dyDescent="0.35">
      <c r="A10" s="117"/>
      <c r="B10" s="150"/>
      <c r="C10" s="107"/>
      <c r="D10" s="119"/>
      <c r="E10" s="90">
        <v>1</v>
      </c>
      <c r="F10" s="90"/>
      <c r="G10" s="90"/>
      <c r="H10" s="91">
        <v>2</v>
      </c>
      <c r="I10" s="91"/>
      <c r="J10" s="91"/>
      <c r="K10" s="92">
        <v>3</v>
      </c>
      <c r="L10" s="93"/>
      <c r="M10" s="94"/>
      <c r="N10" s="99">
        <v>4</v>
      </c>
      <c r="O10" s="100"/>
      <c r="P10" s="101"/>
      <c r="Q10" s="131">
        <v>5</v>
      </c>
      <c r="R10" s="132"/>
      <c r="S10" s="133"/>
      <c r="T10" s="95">
        <v>6</v>
      </c>
      <c r="U10" s="96"/>
      <c r="V10" s="97"/>
      <c r="W10" s="87">
        <v>7</v>
      </c>
      <c r="X10" s="88"/>
      <c r="Y10" s="89"/>
      <c r="Z10" s="90">
        <v>8</v>
      </c>
      <c r="AA10" s="90"/>
      <c r="AB10" s="90"/>
      <c r="AC10" s="91">
        <v>9</v>
      </c>
      <c r="AD10" s="91"/>
      <c r="AE10" s="91"/>
      <c r="AF10" s="92">
        <v>10</v>
      </c>
      <c r="AG10" s="93"/>
      <c r="AH10" s="94"/>
      <c r="AI10" s="99">
        <v>11</v>
      </c>
      <c r="AJ10" s="100"/>
      <c r="AK10" s="101"/>
      <c r="AL10" s="131">
        <v>12</v>
      </c>
      <c r="AM10" s="132"/>
      <c r="AN10" s="133"/>
      <c r="AO10" s="95">
        <v>13</v>
      </c>
      <c r="AP10" s="96"/>
      <c r="AQ10" s="97"/>
      <c r="AR10" s="87">
        <v>14</v>
      </c>
      <c r="AS10" s="88"/>
      <c r="AT10" s="89"/>
      <c r="AU10" s="90">
        <v>15</v>
      </c>
      <c r="AV10" s="90"/>
      <c r="AW10" s="90"/>
      <c r="AX10" s="91">
        <v>16</v>
      </c>
      <c r="AY10" s="91"/>
      <c r="AZ10" s="91"/>
      <c r="BA10" s="92">
        <v>17</v>
      </c>
      <c r="BB10" s="93"/>
      <c r="BC10" s="94"/>
      <c r="BD10" s="99">
        <v>18</v>
      </c>
      <c r="BE10" s="100"/>
      <c r="BF10" s="101"/>
      <c r="BG10" s="131">
        <v>19</v>
      </c>
      <c r="BH10" s="132"/>
      <c r="BI10" s="133"/>
      <c r="BJ10" s="95">
        <v>20</v>
      </c>
      <c r="BK10" s="96"/>
      <c r="BL10" s="97"/>
      <c r="BM10" s="87">
        <v>21</v>
      </c>
      <c r="BN10" s="88"/>
      <c r="BO10" s="89"/>
      <c r="BP10" s="90">
        <v>22</v>
      </c>
      <c r="BQ10" s="90"/>
      <c r="BR10" s="90"/>
      <c r="BS10" s="91">
        <v>23</v>
      </c>
      <c r="BT10" s="91"/>
      <c r="BU10" s="91"/>
      <c r="BV10" s="92">
        <v>24</v>
      </c>
      <c r="BW10" s="93"/>
      <c r="BX10" s="94"/>
      <c r="BY10" s="99">
        <v>25</v>
      </c>
      <c r="BZ10" s="100"/>
      <c r="CA10" s="101"/>
      <c r="CB10" s="131">
        <v>26</v>
      </c>
      <c r="CC10" s="132"/>
      <c r="CD10" s="133"/>
      <c r="CE10" s="95">
        <v>27</v>
      </c>
      <c r="CF10" s="96"/>
      <c r="CG10" s="97"/>
      <c r="CH10" s="87">
        <v>28</v>
      </c>
      <c r="CI10" s="88"/>
      <c r="CJ10" s="89"/>
      <c r="CK10" s="102">
        <v>29</v>
      </c>
      <c r="CL10" s="103"/>
      <c r="CM10" s="104"/>
      <c r="CN10" s="128">
        <v>30</v>
      </c>
      <c r="CO10" s="129"/>
      <c r="CP10" s="130"/>
      <c r="CQ10" s="154"/>
      <c r="CR10" s="155"/>
      <c r="CS10" s="156"/>
      <c r="CT10" s="126"/>
      <c r="CU10" s="126"/>
      <c r="CV10" s="126"/>
      <c r="CW10" s="126"/>
      <c r="CX10" s="127"/>
    </row>
    <row r="11" spans="1:102" ht="80.25" customHeight="1" thickBot="1" x14ac:dyDescent="0.35">
      <c r="A11" s="116"/>
      <c r="B11" s="149"/>
      <c r="C11" s="108"/>
      <c r="D11" s="120"/>
      <c r="E11" s="26" t="s">
        <v>5</v>
      </c>
      <c r="F11" s="26" t="s">
        <v>6</v>
      </c>
      <c r="G11" s="26" t="s">
        <v>7</v>
      </c>
      <c r="H11" s="27" t="s">
        <v>5</v>
      </c>
      <c r="I11" s="27" t="s">
        <v>6</v>
      </c>
      <c r="J11" s="27" t="s">
        <v>7</v>
      </c>
      <c r="K11" s="21" t="s">
        <v>5</v>
      </c>
      <c r="L11" s="21" t="s">
        <v>6</v>
      </c>
      <c r="M11" s="21" t="s">
        <v>7</v>
      </c>
      <c r="N11" s="22" t="s">
        <v>5</v>
      </c>
      <c r="O11" s="22" t="s">
        <v>6</v>
      </c>
      <c r="P11" s="22" t="s">
        <v>7</v>
      </c>
      <c r="Q11" s="23" t="s">
        <v>5</v>
      </c>
      <c r="R11" s="23" t="s">
        <v>6</v>
      </c>
      <c r="S11" s="23" t="s">
        <v>7</v>
      </c>
      <c r="T11" s="24" t="s">
        <v>5</v>
      </c>
      <c r="U11" s="24" t="s">
        <v>6</v>
      </c>
      <c r="V11" s="24" t="s">
        <v>7</v>
      </c>
      <c r="W11" s="25" t="s">
        <v>5</v>
      </c>
      <c r="X11" s="25" t="s">
        <v>6</v>
      </c>
      <c r="Y11" s="25" t="s">
        <v>7</v>
      </c>
      <c r="Z11" s="26" t="s">
        <v>5</v>
      </c>
      <c r="AA11" s="26" t="s">
        <v>6</v>
      </c>
      <c r="AB11" s="26" t="s">
        <v>7</v>
      </c>
      <c r="AC11" s="27" t="s">
        <v>5</v>
      </c>
      <c r="AD11" s="27" t="s">
        <v>6</v>
      </c>
      <c r="AE11" s="27" t="s">
        <v>7</v>
      </c>
      <c r="AF11" s="21" t="s">
        <v>5</v>
      </c>
      <c r="AG11" s="21" t="s">
        <v>6</v>
      </c>
      <c r="AH11" s="21" t="s">
        <v>7</v>
      </c>
      <c r="AI11" s="22" t="s">
        <v>5</v>
      </c>
      <c r="AJ11" s="22" t="s">
        <v>6</v>
      </c>
      <c r="AK11" s="22" t="s">
        <v>7</v>
      </c>
      <c r="AL11" s="23" t="s">
        <v>5</v>
      </c>
      <c r="AM11" s="23" t="s">
        <v>6</v>
      </c>
      <c r="AN11" s="23" t="s">
        <v>7</v>
      </c>
      <c r="AO11" s="24" t="s">
        <v>5</v>
      </c>
      <c r="AP11" s="24" t="s">
        <v>6</v>
      </c>
      <c r="AQ11" s="24" t="s">
        <v>7</v>
      </c>
      <c r="AR11" s="25" t="s">
        <v>5</v>
      </c>
      <c r="AS11" s="25" t="s">
        <v>6</v>
      </c>
      <c r="AT11" s="25" t="s">
        <v>7</v>
      </c>
      <c r="AU11" s="26" t="s">
        <v>5</v>
      </c>
      <c r="AV11" s="26" t="s">
        <v>6</v>
      </c>
      <c r="AW11" s="26" t="s">
        <v>7</v>
      </c>
      <c r="AX11" s="27" t="s">
        <v>5</v>
      </c>
      <c r="AY11" s="27" t="s">
        <v>6</v>
      </c>
      <c r="AZ11" s="27" t="s">
        <v>7</v>
      </c>
      <c r="BA11" s="21" t="s">
        <v>5</v>
      </c>
      <c r="BB11" s="21" t="s">
        <v>6</v>
      </c>
      <c r="BC11" s="21" t="s">
        <v>7</v>
      </c>
      <c r="BD11" s="22" t="s">
        <v>5</v>
      </c>
      <c r="BE11" s="22" t="s">
        <v>6</v>
      </c>
      <c r="BF11" s="22" t="s">
        <v>7</v>
      </c>
      <c r="BG11" s="23" t="s">
        <v>5</v>
      </c>
      <c r="BH11" s="23" t="s">
        <v>6</v>
      </c>
      <c r="BI11" s="23" t="s">
        <v>7</v>
      </c>
      <c r="BJ11" s="24" t="s">
        <v>5</v>
      </c>
      <c r="BK11" s="24" t="s">
        <v>6</v>
      </c>
      <c r="BL11" s="24" t="s">
        <v>7</v>
      </c>
      <c r="BM11" s="25" t="s">
        <v>5</v>
      </c>
      <c r="BN11" s="25" t="s">
        <v>6</v>
      </c>
      <c r="BO11" s="25" t="s">
        <v>7</v>
      </c>
      <c r="BP11" s="26" t="s">
        <v>5</v>
      </c>
      <c r="BQ11" s="26" t="s">
        <v>6</v>
      </c>
      <c r="BR11" s="26" t="s">
        <v>7</v>
      </c>
      <c r="BS11" s="27" t="s">
        <v>5</v>
      </c>
      <c r="BT11" s="27" t="s">
        <v>6</v>
      </c>
      <c r="BU11" s="27" t="s">
        <v>7</v>
      </c>
      <c r="BV11" s="21" t="s">
        <v>5</v>
      </c>
      <c r="BW11" s="21" t="s">
        <v>6</v>
      </c>
      <c r="BX11" s="21" t="s">
        <v>7</v>
      </c>
      <c r="BY11" s="22" t="s">
        <v>5</v>
      </c>
      <c r="BZ11" s="22" t="s">
        <v>6</v>
      </c>
      <c r="CA11" s="22" t="s">
        <v>7</v>
      </c>
      <c r="CB11" s="23" t="s">
        <v>5</v>
      </c>
      <c r="CC11" s="23" t="s">
        <v>6</v>
      </c>
      <c r="CD11" s="23" t="s">
        <v>7</v>
      </c>
      <c r="CE11" s="24" t="s">
        <v>5</v>
      </c>
      <c r="CF11" s="24" t="s">
        <v>6</v>
      </c>
      <c r="CG11" s="24" t="s">
        <v>7</v>
      </c>
      <c r="CH11" s="25" t="s">
        <v>5</v>
      </c>
      <c r="CI11" s="25" t="s">
        <v>6</v>
      </c>
      <c r="CJ11" s="25" t="s">
        <v>7</v>
      </c>
      <c r="CK11" s="26" t="s">
        <v>5</v>
      </c>
      <c r="CL11" s="26" t="s">
        <v>6</v>
      </c>
      <c r="CM11" s="26" t="s">
        <v>7</v>
      </c>
      <c r="CN11" s="27" t="s">
        <v>5</v>
      </c>
      <c r="CO11" s="27" t="s">
        <v>6</v>
      </c>
      <c r="CP11" s="27" t="s">
        <v>7</v>
      </c>
      <c r="CQ11" s="74"/>
      <c r="CR11" s="74"/>
      <c r="CS11" s="74"/>
      <c r="CT11" s="31" t="s">
        <v>5</v>
      </c>
      <c r="CU11" s="14" t="s">
        <v>6</v>
      </c>
      <c r="CV11" s="47" t="s">
        <v>49</v>
      </c>
      <c r="CW11" s="14" t="s">
        <v>7</v>
      </c>
      <c r="CX11" s="4" t="s">
        <v>7</v>
      </c>
    </row>
    <row r="12" spans="1:102" ht="15" thickBot="1" x14ac:dyDescent="0.35">
      <c r="A12" s="51">
        <v>1</v>
      </c>
      <c r="B12" s="55" t="s">
        <v>54</v>
      </c>
      <c r="C12" s="1"/>
      <c r="D12" s="34"/>
      <c r="E12" s="33"/>
      <c r="F12" s="28"/>
      <c r="G12" s="28"/>
      <c r="H12" s="33"/>
      <c r="I12" s="28"/>
      <c r="J12" s="28"/>
      <c r="K12" s="33"/>
      <c r="L12" s="28"/>
      <c r="M12" s="28"/>
      <c r="N12" s="33"/>
      <c r="O12" s="28"/>
      <c r="P12" s="28"/>
      <c r="Q12" s="33"/>
      <c r="R12" s="28"/>
      <c r="S12" s="28"/>
      <c r="T12" s="33"/>
      <c r="U12" s="28"/>
      <c r="V12" s="28"/>
      <c r="W12" s="33"/>
      <c r="X12" s="28"/>
      <c r="Y12" s="28"/>
      <c r="Z12" s="33"/>
      <c r="AA12" s="28"/>
      <c r="AB12" s="28"/>
      <c r="AC12" s="33"/>
      <c r="AD12" s="28"/>
      <c r="AE12" s="28"/>
      <c r="AF12" s="33"/>
      <c r="AG12" s="28"/>
      <c r="AH12" s="28"/>
      <c r="AI12" s="33"/>
      <c r="AJ12" s="28"/>
      <c r="AK12" s="28"/>
      <c r="AL12" s="33"/>
      <c r="AM12" s="28"/>
      <c r="AN12" s="28"/>
      <c r="AO12" s="33"/>
      <c r="AP12" s="28"/>
      <c r="AQ12" s="28"/>
      <c r="AR12" s="33"/>
      <c r="AS12" s="28"/>
      <c r="AT12" s="28"/>
      <c r="AU12" s="33"/>
      <c r="AV12" s="28"/>
      <c r="AW12" s="28"/>
      <c r="AX12" s="33"/>
      <c r="AY12" s="28"/>
      <c r="AZ12" s="28"/>
      <c r="BA12" s="33"/>
      <c r="BB12" s="28"/>
      <c r="BC12" s="28"/>
      <c r="BD12" s="33"/>
      <c r="BE12" s="28"/>
      <c r="BF12" s="28"/>
      <c r="BG12" s="33"/>
      <c r="BH12" s="28"/>
      <c r="BI12" s="28"/>
      <c r="BJ12" s="33"/>
      <c r="BK12" s="28"/>
      <c r="BL12" s="28"/>
      <c r="BM12" s="33"/>
      <c r="BN12" s="28"/>
      <c r="BO12" s="28"/>
      <c r="BP12" s="33"/>
      <c r="BQ12" s="28"/>
      <c r="BR12" s="28"/>
      <c r="BS12" s="33"/>
      <c r="BT12" s="28"/>
      <c r="BU12" s="28"/>
      <c r="BV12" s="33"/>
      <c r="BW12" s="28"/>
      <c r="BX12" s="28"/>
      <c r="BY12" s="33"/>
      <c r="BZ12" s="28"/>
      <c r="CA12" s="28"/>
      <c r="CB12" s="33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32">
        <f t="shared" ref="CT12:CT43" si="0">SUM(E12,H12,N12,Q12,T12,Z12,AC12,AF12,AI12,AL12,AO12,AX12,BA12,BD12,BG12,BJ12,BM12,BP12,BS12,BV12,BY12,CB12,CE12,CH12,CK12,CN12,CQ12,K12,W12,AR12,AU12)</f>
        <v>0</v>
      </c>
      <c r="CU12" s="30">
        <f t="shared" ref="CU12:CU43" si="1">SUM(F12,I12,L12,O12,R12,U12,X12,AA12,AD12,AG12,AJ12,AM12,AP12,AS12,AV12,AY12,BB12,BE12,BH12,BK12,BN12,BQ12,BT12,BW12,BZ12,CC12,CF12,CI12,CL12,CO12,CR12)</f>
        <v>0</v>
      </c>
      <c r="CV12" s="30"/>
      <c r="CW12" s="15">
        <f t="shared" ref="CW12:CW43" si="2">SUM(G12,J12,M12,P12,S12,V12,Y12,AB12,AE12,AH12,AK12,AN12,AQ12,AT12,AW12,AZ12,BC12,BF12,BI12,BL12,BO12,BR12,BU12,BX12,CA12,CD12,CG12,CJ12,CM12,CP12,CS12)</f>
        <v>0</v>
      </c>
      <c r="CX12" s="5" t="e">
        <f>SUM(G12,J12,M12,P12,S12,V12,Y12,AB12,AE12,AH12,AK12,AN12,AQ12,#REF!)</f>
        <v>#REF!</v>
      </c>
    </row>
    <row r="13" spans="1:102" x14ac:dyDescent="0.3">
      <c r="A13" s="60">
        <v>2</v>
      </c>
      <c r="B13" s="57" t="s">
        <v>120</v>
      </c>
      <c r="C13" s="1"/>
      <c r="D13" s="34"/>
      <c r="E13" s="33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>
        <v>1</v>
      </c>
      <c r="CA13" s="28">
        <v>1</v>
      </c>
      <c r="CB13" s="28">
        <v>1</v>
      </c>
      <c r="CC13" s="28"/>
      <c r="CD13" s="28">
        <v>1</v>
      </c>
      <c r="CE13" s="28">
        <v>1</v>
      </c>
      <c r="CF13" s="28"/>
      <c r="CG13" s="28">
        <v>1</v>
      </c>
      <c r="CH13" s="28"/>
      <c r="CI13" s="28"/>
      <c r="CJ13" s="28">
        <v>1</v>
      </c>
      <c r="CK13" s="28"/>
      <c r="CL13" s="28"/>
      <c r="CM13" s="28"/>
      <c r="CN13" s="28"/>
      <c r="CO13" s="28"/>
      <c r="CP13" s="28"/>
      <c r="CQ13" s="28"/>
      <c r="CR13" s="28"/>
      <c r="CS13" s="28"/>
      <c r="CT13" s="32">
        <f t="shared" si="0"/>
        <v>2</v>
      </c>
      <c r="CU13" s="30">
        <f t="shared" si="1"/>
        <v>1</v>
      </c>
      <c r="CV13" s="30"/>
      <c r="CW13" s="15">
        <f t="shared" si="2"/>
        <v>4</v>
      </c>
      <c r="CX13" s="6"/>
    </row>
    <row r="14" spans="1:102" x14ac:dyDescent="0.3">
      <c r="A14" s="51">
        <v>3</v>
      </c>
      <c r="B14" s="56" t="s">
        <v>36</v>
      </c>
      <c r="C14" s="19" t="s">
        <v>44</v>
      </c>
      <c r="D14" s="35" t="s">
        <v>37</v>
      </c>
      <c r="E14" s="33"/>
      <c r="F14" s="28"/>
      <c r="G14" s="28"/>
      <c r="H14" s="33"/>
      <c r="I14" s="28"/>
      <c r="J14" s="28"/>
      <c r="K14" s="33"/>
      <c r="L14" s="28"/>
      <c r="M14" s="28"/>
      <c r="N14" s="33"/>
      <c r="O14" s="28"/>
      <c r="P14" s="28"/>
      <c r="Q14" s="33"/>
      <c r="R14" s="28"/>
      <c r="S14" s="28"/>
      <c r="T14" s="33"/>
      <c r="U14" s="28"/>
      <c r="V14" s="28"/>
      <c r="W14" s="33"/>
      <c r="X14" s="28"/>
      <c r="Y14" s="28"/>
      <c r="Z14" s="33"/>
      <c r="AA14" s="28"/>
      <c r="AB14" s="28"/>
      <c r="AC14" s="33"/>
      <c r="AD14" s="28"/>
      <c r="AE14" s="28"/>
      <c r="AF14" s="33"/>
      <c r="AG14" s="28"/>
      <c r="AH14" s="28"/>
      <c r="AI14" s="33"/>
      <c r="AJ14" s="28"/>
      <c r="AK14" s="28"/>
      <c r="AL14" s="33"/>
      <c r="AM14" s="28"/>
      <c r="AN14" s="28"/>
      <c r="AO14" s="33"/>
      <c r="AP14" s="28"/>
      <c r="AQ14" s="28"/>
      <c r="AR14" s="33"/>
      <c r="AS14" s="28"/>
      <c r="AT14" s="28"/>
      <c r="AU14" s="33"/>
      <c r="AV14" s="28"/>
      <c r="AW14" s="28"/>
      <c r="AX14" s="33"/>
      <c r="AY14" s="28"/>
      <c r="AZ14" s="28"/>
      <c r="BA14" s="33"/>
      <c r="BB14" s="28"/>
      <c r="BC14" s="28"/>
      <c r="BD14" s="33"/>
      <c r="BE14" s="28"/>
      <c r="BF14" s="28"/>
      <c r="BG14" s="33"/>
      <c r="BH14" s="28"/>
      <c r="BI14" s="28"/>
      <c r="BJ14" s="33"/>
      <c r="BK14" s="28"/>
      <c r="BL14" s="28"/>
      <c r="BM14" s="33"/>
      <c r="BN14" s="28"/>
      <c r="BO14" s="28"/>
      <c r="BP14" s="33">
        <v>1</v>
      </c>
      <c r="BQ14" s="28"/>
      <c r="BR14" s="28"/>
      <c r="BS14" s="33">
        <v>1</v>
      </c>
      <c r="BT14" s="28"/>
      <c r="BU14" s="28"/>
      <c r="BV14" s="33">
        <v>1</v>
      </c>
      <c r="BW14" s="28"/>
      <c r="BX14" s="28"/>
      <c r="BY14" s="33">
        <v>1</v>
      </c>
      <c r="BZ14" s="28"/>
      <c r="CA14" s="28"/>
      <c r="CB14" s="33">
        <v>1</v>
      </c>
      <c r="CC14" s="28"/>
      <c r="CD14" s="28"/>
      <c r="CE14" s="28"/>
      <c r="CF14" s="28"/>
      <c r="CG14" s="28"/>
      <c r="CH14" s="28"/>
      <c r="CI14" s="28"/>
      <c r="CJ14" s="28"/>
      <c r="CK14" s="28">
        <v>1</v>
      </c>
      <c r="CL14" s="28"/>
      <c r="CM14" s="28"/>
      <c r="CN14" s="28">
        <v>1</v>
      </c>
      <c r="CO14" s="28"/>
      <c r="CP14" s="28"/>
      <c r="CQ14" s="28"/>
      <c r="CR14" s="28"/>
      <c r="CS14" s="28"/>
      <c r="CT14" s="32">
        <f t="shared" si="0"/>
        <v>7</v>
      </c>
      <c r="CU14" s="30">
        <f t="shared" si="1"/>
        <v>0</v>
      </c>
      <c r="CV14" s="30"/>
      <c r="CW14" s="15">
        <f t="shared" si="2"/>
        <v>0</v>
      </c>
      <c r="CX14" s="2"/>
    </row>
    <row r="15" spans="1:102" x14ac:dyDescent="0.3">
      <c r="A15" s="60">
        <v>4</v>
      </c>
      <c r="B15" s="57" t="s">
        <v>55</v>
      </c>
      <c r="C15" s="37"/>
      <c r="D15" s="36"/>
      <c r="E15" s="28"/>
      <c r="F15" s="80"/>
      <c r="G15" s="28"/>
      <c r="H15" s="33"/>
      <c r="I15" s="28"/>
      <c r="J15" s="28"/>
      <c r="K15" s="33"/>
      <c r="L15" s="28"/>
      <c r="M15" s="28"/>
      <c r="N15" s="33"/>
      <c r="O15" s="28"/>
      <c r="P15" s="28"/>
      <c r="Q15" s="33"/>
      <c r="R15" s="28"/>
      <c r="S15" s="28"/>
      <c r="T15" s="33"/>
      <c r="U15" s="28"/>
      <c r="V15" s="28"/>
      <c r="W15" s="33"/>
      <c r="X15" s="28"/>
      <c r="Y15" s="28"/>
      <c r="Z15" s="33"/>
      <c r="AA15" s="28"/>
      <c r="AB15" s="28"/>
      <c r="AC15" s="33"/>
      <c r="AD15" s="28"/>
      <c r="AE15" s="28"/>
      <c r="AF15" s="33"/>
      <c r="AG15" s="28"/>
      <c r="AH15" s="28"/>
      <c r="AI15" s="33"/>
      <c r="AJ15" s="28"/>
      <c r="AK15" s="28"/>
      <c r="AL15" s="33"/>
      <c r="AM15" s="28"/>
      <c r="AN15" s="28"/>
      <c r="AO15" s="33"/>
      <c r="AP15" s="28"/>
      <c r="AQ15" s="28"/>
      <c r="AR15" s="33"/>
      <c r="AS15" s="28"/>
      <c r="AT15" s="28"/>
      <c r="AU15" s="33"/>
      <c r="AV15" s="28"/>
      <c r="AW15" s="28"/>
      <c r="AX15" s="33"/>
      <c r="AY15" s="28"/>
      <c r="AZ15" s="28"/>
      <c r="BA15" s="33"/>
      <c r="BB15" s="28"/>
      <c r="BC15" s="28"/>
      <c r="BD15" s="33"/>
      <c r="BE15" s="28"/>
      <c r="BF15" s="28"/>
      <c r="BG15" s="33"/>
      <c r="BH15" s="28"/>
      <c r="BI15" s="28"/>
      <c r="BJ15" s="33"/>
      <c r="BK15" s="28"/>
      <c r="BL15" s="28"/>
      <c r="BM15" s="33"/>
      <c r="BN15" s="28"/>
      <c r="BO15" s="28"/>
      <c r="BP15" s="33">
        <v>1</v>
      </c>
      <c r="BQ15" s="28"/>
      <c r="BR15" s="28">
        <v>1</v>
      </c>
      <c r="BS15" s="33">
        <v>1</v>
      </c>
      <c r="BT15" s="28"/>
      <c r="BU15" s="28">
        <v>1</v>
      </c>
      <c r="BV15" s="33">
        <v>1</v>
      </c>
      <c r="BW15" s="28"/>
      <c r="BX15" s="28">
        <v>1</v>
      </c>
      <c r="BY15" s="33">
        <v>1</v>
      </c>
      <c r="BZ15" s="28"/>
      <c r="CA15" s="28">
        <v>1</v>
      </c>
      <c r="CB15" s="33">
        <v>1</v>
      </c>
      <c r="CC15" s="28"/>
      <c r="CD15" s="28">
        <v>1</v>
      </c>
      <c r="CE15" s="28">
        <v>1</v>
      </c>
      <c r="CF15" s="28"/>
      <c r="CG15" s="28">
        <v>1</v>
      </c>
      <c r="CH15" s="28">
        <v>1</v>
      </c>
      <c r="CI15" s="28"/>
      <c r="CJ15" s="28">
        <v>1</v>
      </c>
      <c r="CK15" s="28"/>
      <c r="CL15" s="28"/>
      <c r="CM15" s="28">
        <v>1</v>
      </c>
      <c r="CN15" s="28">
        <v>1</v>
      </c>
      <c r="CO15" s="28"/>
      <c r="CP15" s="28">
        <v>1</v>
      </c>
      <c r="CQ15" s="28"/>
      <c r="CR15" s="28"/>
      <c r="CS15" s="28"/>
      <c r="CT15" s="32">
        <f t="shared" si="0"/>
        <v>8</v>
      </c>
      <c r="CU15" s="30">
        <f t="shared" si="1"/>
        <v>0</v>
      </c>
      <c r="CV15" s="30"/>
      <c r="CW15" s="15">
        <f t="shared" si="2"/>
        <v>9</v>
      </c>
      <c r="CX15" s="2"/>
    </row>
    <row r="16" spans="1:102" x14ac:dyDescent="0.3">
      <c r="A16" s="51">
        <v>5</v>
      </c>
      <c r="B16" s="58" t="s">
        <v>118</v>
      </c>
      <c r="C16" s="50"/>
      <c r="D16" s="51"/>
      <c r="E16" s="33"/>
      <c r="F16" s="15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>
        <v>1</v>
      </c>
      <c r="BQ16" s="28"/>
      <c r="BR16" s="28">
        <v>1</v>
      </c>
      <c r="BS16" s="28">
        <v>1</v>
      </c>
      <c r="BT16" s="28"/>
      <c r="BU16" s="28">
        <v>1</v>
      </c>
      <c r="BV16" s="28">
        <v>1</v>
      </c>
      <c r="BW16" s="28"/>
      <c r="BX16" s="28">
        <v>1</v>
      </c>
      <c r="BY16" s="28">
        <v>1</v>
      </c>
      <c r="BZ16" s="28"/>
      <c r="CA16" s="28">
        <v>1</v>
      </c>
      <c r="CB16" s="28">
        <v>1</v>
      </c>
      <c r="CC16" s="28"/>
      <c r="CD16" s="28">
        <v>1</v>
      </c>
      <c r="CE16" s="28">
        <v>1</v>
      </c>
      <c r="CF16" s="28"/>
      <c r="CG16" s="28">
        <v>1</v>
      </c>
      <c r="CH16" s="28"/>
      <c r="CI16" s="28"/>
      <c r="CJ16" s="28">
        <v>1</v>
      </c>
      <c r="CK16" s="28">
        <v>1</v>
      </c>
      <c r="CL16" s="28"/>
      <c r="CM16" s="28">
        <v>1</v>
      </c>
      <c r="CN16" s="28">
        <v>1</v>
      </c>
      <c r="CO16" s="28"/>
      <c r="CP16" s="28">
        <v>1</v>
      </c>
      <c r="CQ16" s="28"/>
      <c r="CR16" s="28"/>
      <c r="CS16" s="28"/>
      <c r="CT16" s="32">
        <f t="shared" si="0"/>
        <v>8</v>
      </c>
      <c r="CU16" s="30">
        <f t="shared" si="1"/>
        <v>0</v>
      </c>
      <c r="CV16" s="30"/>
      <c r="CW16" s="15">
        <f t="shared" si="2"/>
        <v>9</v>
      </c>
      <c r="CX16" s="2"/>
    </row>
    <row r="17" spans="1:102" x14ac:dyDescent="0.3">
      <c r="A17" s="60">
        <v>6</v>
      </c>
      <c r="B17" s="57" t="s">
        <v>94</v>
      </c>
      <c r="C17" s="76"/>
      <c r="D17" s="78"/>
      <c r="E17" s="3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32">
        <f t="shared" si="0"/>
        <v>0</v>
      </c>
      <c r="CU17" s="30">
        <f t="shared" si="1"/>
        <v>0</v>
      </c>
      <c r="CV17" s="30"/>
      <c r="CW17" s="15">
        <f t="shared" si="2"/>
        <v>0</v>
      </c>
      <c r="CX17" s="2"/>
    </row>
    <row r="18" spans="1:102" x14ac:dyDescent="0.3">
      <c r="A18" s="51">
        <v>7</v>
      </c>
      <c r="B18" s="75" t="s">
        <v>72</v>
      </c>
      <c r="C18" s="77"/>
      <c r="D18" s="79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32">
        <f t="shared" si="0"/>
        <v>0</v>
      </c>
      <c r="CU18" s="30">
        <f t="shared" si="1"/>
        <v>0</v>
      </c>
      <c r="CV18" s="30"/>
      <c r="CW18" s="15">
        <f t="shared" si="2"/>
        <v>0</v>
      </c>
      <c r="CX18" s="2"/>
    </row>
    <row r="19" spans="1:102" x14ac:dyDescent="0.3">
      <c r="A19" s="60">
        <v>8</v>
      </c>
      <c r="B19" s="57" t="s">
        <v>98</v>
      </c>
      <c r="C19" s="53"/>
      <c r="D19" s="54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32">
        <f t="shared" si="0"/>
        <v>0</v>
      </c>
      <c r="CU19" s="30">
        <f t="shared" si="1"/>
        <v>0</v>
      </c>
      <c r="CV19" s="30"/>
      <c r="CW19" s="15">
        <f t="shared" si="2"/>
        <v>0</v>
      </c>
      <c r="CX19" s="2"/>
    </row>
    <row r="20" spans="1:102" x14ac:dyDescent="0.3">
      <c r="A20" s="51">
        <v>9</v>
      </c>
      <c r="B20" s="56" t="s">
        <v>70</v>
      </c>
      <c r="C20" s="49"/>
      <c r="D20" s="52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2">
        <f t="shared" si="0"/>
        <v>0</v>
      </c>
      <c r="CU20" s="30">
        <f t="shared" si="1"/>
        <v>0</v>
      </c>
      <c r="CV20" s="30"/>
      <c r="CW20" s="15">
        <f t="shared" si="2"/>
        <v>0</v>
      </c>
      <c r="CX20" s="2"/>
    </row>
    <row r="21" spans="1:102" x14ac:dyDescent="0.3">
      <c r="A21" s="60">
        <v>10</v>
      </c>
      <c r="B21" s="56" t="s">
        <v>91</v>
      </c>
      <c r="C21" s="49"/>
      <c r="D21" s="52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32">
        <f t="shared" si="0"/>
        <v>0</v>
      </c>
      <c r="CU21" s="30">
        <f t="shared" si="1"/>
        <v>0</v>
      </c>
      <c r="CV21" s="30"/>
      <c r="CW21" s="15">
        <f t="shared" si="2"/>
        <v>0</v>
      </c>
      <c r="CX21" s="2"/>
    </row>
    <row r="22" spans="1:102" x14ac:dyDescent="0.3">
      <c r="A22" s="51">
        <v>11</v>
      </c>
      <c r="B22" s="57" t="s">
        <v>2</v>
      </c>
      <c r="C22" s="1" t="s">
        <v>42</v>
      </c>
      <c r="D22" s="34" t="s">
        <v>23</v>
      </c>
      <c r="E22" s="33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32">
        <f t="shared" si="0"/>
        <v>0</v>
      </c>
      <c r="CU22" s="30">
        <f t="shared" si="1"/>
        <v>0</v>
      </c>
      <c r="CV22" s="30"/>
      <c r="CW22" s="15">
        <f t="shared" si="2"/>
        <v>0</v>
      </c>
      <c r="CX22" s="2"/>
    </row>
    <row r="23" spans="1:102" x14ac:dyDescent="0.3">
      <c r="A23" s="60">
        <v>12</v>
      </c>
      <c r="B23" s="57" t="s">
        <v>64</v>
      </c>
      <c r="C23" s="1"/>
      <c r="D23" s="34"/>
      <c r="E23" s="33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>
        <v>1</v>
      </c>
      <c r="BZ23" s="28">
        <v>1</v>
      </c>
      <c r="CA23" s="28">
        <v>1</v>
      </c>
      <c r="CB23" s="28">
        <v>1</v>
      </c>
      <c r="CC23" s="28"/>
      <c r="CD23" s="28">
        <v>1</v>
      </c>
      <c r="CE23" s="28">
        <v>1</v>
      </c>
      <c r="CF23" s="28"/>
      <c r="CG23" s="28">
        <v>1</v>
      </c>
      <c r="CH23" s="28"/>
      <c r="CI23" s="28"/>
      <c r="CJ23" s="28">
        <v>1</v>
      </c>
      <c r="CK23" s="28">
        <v>1</v>
      </c>
      <c r="CL23" s="28"/>
      <c r="CM23" s="28">
        <v>1</v>
      </c>
      <c r="CN23" s="28">
        <v>1</v>
      </c>
      <c r="CO23" s="28"/>
      <c r="CP23" s="28">
        <v>1</v>
      </c>
      <c r="CQ23" s="28"/>
      <c r="CR23" s="28"/>
      <c r="CS23" s="28"/>
      <c r="CT23" s="32">
        <f t="shared" si="0"/>
        <v>5</v>
      </c>
      <c r="CU23" s="30">
        <f t="shared" si="1"/>
        <v>1</v>
      </c>
      <c r="CV23" s="30"/>
      <c r="CW23" s="15">
        <f t="shared" si="2"/>
        <v>6</v>
      </c>
      <c r="CX23" s="2" t="e">
        <f>SUM(G23,J23,M23,P23,S23,V23,Y23,AB23,AE23,AH23,AK23,AN23,AQ23,#REF!)</f>
        <v>#REF!</v>
      </c>
    </row>
    <row r="24" spans="1:102" x14ac:dyDescent="0.3">
      <c r="A24" s="51">
        <v>13</v>
      </c>
      <c r="B24" s="56" t="s">
        <v>40</v>
      </c>
      <c r="C24" s="1" t="s">
        <v>43</v>
      </c>
      <c r="D24" s="35" t="s">
        <v>45</v>
      </c>
      <c r="E24" s="3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>
        <v>1</v>
      </c>
      <c r="BQ24" s="28"/>
      <c r="BR24" s="28"/>
      <c r="BS24" s="28">
        <v>1</v>
      </c>
      <c r="BT24" s="28"/>
      <c r="BU24" s="28"/>
      <c r="BV24" s="28">
        <v>1</v>
      </c>
      <c r="BW24" s="28"/>
      <c r="BX24" s="28"/>
      <c r="BY24" s="28">
        <v>1</v>
      </c>
      <c r="BZ24" s="28"/>
      <c r="CA24" s="28"/>
      <c r="CB24" s="28">
        <v>1</v>
      </c>
      <c r="CC24" s="28"/>
      <c r="CD24" s="28"/>
      <c r="CE24" s="28"/>
      <c r="CF24" s="28"/>
      <c r="CG24" s="28"/>
      <c r="CH24" s="28"/>
      <c r="CI24" s="28"/>
      <c r="CJ24" s="28"/>
      <c r="CK24" s="28">
        <v>1</v>
      </c>
      <c r="CL24" s="28"/>
      <c r="CM24" s="28"/>
      <c r="CN24" s="28">
        <v>1</v>
      </c>
      <c r="CO24" s="28"/>
      <c r="CP24" s="28"/>
      <c r="CQ24" s="28"/>
      <c r="CR24" s="28"/>
      <c r="CS24" s="28"/>
      <c r="CT24" s="32">
        <f t="shared" si="0"/>
        <v>7</v>
      </c>
      <c r="CU24" s="30">
        <f t="shared" si="1"/>
        <v>0</v>
      </c>
      <c r="CV24" s="30"/>
      <c r="CW24" s="15">
        <f t="shared" si="2"/>
        <v>0</v>
      </c>
      <c r="CX24" s="2" t="e">
        <f>SUM(G24,J24,M24,P24,S24,V24,Y24,AB24,AE24,AH24,AK24,AN24,AQ24,#REF!)</f>
        <v>#REF!</v>
      </c>
    </row>
    <row r="25" spans="1:102" x14ac:dyDescent="0.3">
      <c r="A25" s="60">
        <v>14</v>
      </c>
      <c r="B25" s="57" t="s">
        <v>52</v>
      </c>
      <c r="C25" s="1"/>
      <c r="D25" s="34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32">
        <f t="shared" si="0"/>
        <v>0</v>
      </c>
      <c r="CU25" s="30">
        <f t="shared" si="1"/>
        <v>0</v>
      </c>
      <c r="CV25" s="30"/>
      <c r="CW25" s="15">
        <f t="shared" si="2"/>
        <v>0</v>
      </c>
      <c r="CX25" s="2" t="e">
        <f>SUM(G25,J25,M25,P25,S25,V25,Y25,AB25,AE25,AH25,AK25,AN25,AQ25,#REF!)</f>
        <v>#REF!</v>
      </c>
    </row>
    <row r="26" spans="1:102" x14ac:dyDescent="0.3">
      <c r="A26" s="51">
        <v>15</v>
      </c>
      <c r="B26" s="57" t="s">
        <v>66</v>
      </c>
      <c r="C26" s="1"/>
      <c r="D26" s="34"/>
      <c r="E26" s="3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>
        <v>1</v>
      </c>
      <c r="BQ26" s="28"/>
      <c r="BR26" s="28">
        <v>1</v>
      </c>
      <c r="BS26" s="28">
        <v>1</v>
      </c>
      <c r="BT26" s="28"/>
      <c r="BU26" s="28">
        <v>1</v>
      </c>
      <c r="BV26" s="28">
        <v>1</v>
      </c>
      <c r="BW26" s="28"/>
      <c r="BX26" s="28">
        <v>1</v>
      </c>
      <c r="BY26" s="28">
        <v>1</v>
      </c>
      <c r="BZ26" s="28"/>
      <c r="CA26" s="28">
        <v>1</v>
      </c>
      <c r="CB26" s="28">
        <v>1</v>
      </c>
      <c r="CC26" s="28"/>
      <c r="CD26" s="28">
        <v>1</v>
      </c>
      <c r="CE26" s="28">
        <v>1</v>
      </c>
      <c r="CF26" s="28"/>
      <c r="CG26" s="28">
        <v>1</v>
      </c>
      <c r="CH26" s="28"/>
      <c r="CI26" s="28"/>
      <c r="CJ26" s="28">
        <v>1</v>
      </c>
      <c r="CK26" s="28">
        <v>1</v>
      </c>
      <c r="CL26" s="28"/>
      <c r="CM26" s="28">
        <v>1</v>
      </c>
      <c r="CN26" s="28">
        <v>1</v>
      </c>
      <c r="CO26" s="28"/>
      <c r="CP26" s="28">
        <v>1</v>
      </c>
      <c r="CQ26" s="28"/>
      <c r="CR26" s="28"/>
      <c r="CS26" s="28"/>
      <c r="CT26" s="32">
        <f t="shared" si="0"/>
        <v>8</v>
      </c>
      <c r="CU26" s="30">
        <f t="shared" si="1"/>
        <v>0</v>
      </c>
      <c r="CV26" s="30"/>
      <c r="CW26" s="15">
        <f t="shared" si="2"/>
        <v>9</v>
      </c>
      <c r="CX26" s="2" t="e">
        <f>SUM(G26,J26,M26,P26,S26,V26,Y26,AB26,AE26,AH26,AK26,AN26,AQ26,#REF!)</f>
        <v>#REF!</v>
      </c>
    </row>
    <row r="27" spans="1:102" x14ac:dyDescent="0.3">
      <c r="A27" s="60">
        <v>16</v>
      </c>
      <c r="B27" s="57" t="s">
        <v>97</v>
      </c>
      <c r="C27" s="1"/>
      <c r="D27" s="34"/>
      <c r="E27" s="33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32">
        <f t="shared" si="0"/>
        <v>0</v>
      </c>
      <c r="CU27" s="30">
        <f t="shared" si="1"/>
        <v>0</v>
      </c>
      <c r="CV27" s="30"/>
      <c r="CW27" s="15">
        <f t="shared" si="2"/>
        <v>0</v>
      </c>
      <c r="CX27" s="2"/>
    </row>
    <row r="28" spans="1:102" x14ac:dyDescent="0.3">
      <c r="A28" s="51">
        <v>17</v>
      </c>
      <c r="B28" s="57" t="s">
        <v>76</v>
      </c>
      <c r="C28" s="1"/>
      <c r="D28" s="34"/>
      <c r="E28" s="3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32">
        <f t="shared" si="0"/>
        <v>0</v>
      </c>
      <c r="CU28" s="30">
        <f t="shared" si="1"/>
        <v>0</v>
      </c>
      <c r="CV28" s="30"/>
      <c r="CW28" s="15">
        <f t="shared" si="2"/>
        <v>0</v>
      </c>
      <c r="CX28" s="2"/>
    </row>
    <row r="29" spans="1:102" x14ac:dyDescent="0.3">
      <c r="A29" s="60">
        <v>18</v>
      </c>
      <c r="B29" s="57" t="s">
        <v>75</v>
      </c>
      <c r="C29" s="1"/>
      <c r="D29" s="34"/>
      <c r="E29" s="3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32">
        <f t="shared" si="0"/>
        <v>0</v>
      </c>
      <c r="CU29" s="30">
        <f t="shared" si="1"/>
        <v>0</v>
      </c>
      <c r="CV29" s="30"/>
      <c r="CW29" s="15">
        <f t="shared" si="2"/>
        <v>0</v>
      </c>
      <c r="CX29" s="2"/>
    </row>
    <row r="30" spans="1:102" x14ac:dyDescent="0.3">
      <c r="A30" s="51">
        <v>19</v>
      </c>
      <c r="B30" s="57" t="s">
        <v>89</v>
      </c>
      <c r="C30" s="1"/>
      <c r="D30" s="34"/>
      <c r="E30" s="3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>
        <v>1</v>
      </c>
      <c r="BT30" s="28"/>
      <c r="BU30" s="28"/>
      <c r="BV30" s="28">
        <v>1</v>
      </c>
      <c r="BW30" s="28"/>
      <c r="BX30" s="28"/>
      <c r="BY30" s="28">
        <v>1</v>
      </c>
      <c r="BZ30" s="28"/>
      <c r="CA30" s="28"/>
      <c r="CB30" s="28">
        <v>1</v>
      </c>
      <c r="CC30" s="28"/>
      <c r="CD30" s="28"/>
      <c r="CE30" s="28">
        <v>1</v>
      </c>
      <c r="CF30" s="28"/>
      <c r="CG30" s="28"/>
      <c r="CH30" s="28"/>
      <c r="CI30" s="28"/>
      <c r="CJ30" s="28"/>
      <c r="CK30" s="28">
        <v>1</v>
      </c>
      <c r="CL30" s="28"/>
      <c r="CM30" s="28"/>
      <c r="CN30" s="28">
        <v>1</v>
      </c>
      <c r="CO30" s="28"/>
      <c r="CP30" s="28"/>
      <c r="CQ30" s="28"/>
      <c r="CR30" s="28"/>
      <c r="CS30" s="28"/>
      <c r="CT30" s="32">
        <f t="shared" si="0"/>
        <v>7</v>
      </c>
      <c r="CU30" s="30">
        <f t="shared" si="1"/>
        <v>0</v>
      </c>
      <c r="CV30" s="30"/>
      <c r="CW30" s="15">
        <f t="shared" si="2"/>
        <v>0</v>
      </c>
      <c r="CX30" s="2"/>
    </row>
    <row r="31" spans="1:102" ht="18.75" customHeight="1" x14ac:dyDescent="0.3">
      <c r="A31" s="60">
        <v>20</v>
      </c>
      <c r="B31" s="57" t="s">
        <v>62</v>
      </c>
      <c r="C31" s="1"/>
      <c r="D31" s="34"/>
      <c r="E31" s="33"/>
      <c r="F31" s="28"/>
      <c r="G31" s="28"/>
      <c r="H31" s="33"/>
      <c r="I31" s="28"/>
      <c r="J31" s="28"/>
      <c r="K31" s="33"/>
      <c r="L31" s="28"/>
      <c r="M31" s="28"/>
      <c r="N31" s="33"/>
      <c r="O31" s="28"/>
      <c r="P31" s="28"/>
      <c r="Q31" s="33"/>
      <c r="R31" s="28"/>
      <c r="S31" s="28"/>
      <c r="T31" s="33"/>
      <c r="U31" s="28"/>
      <c r="V31" s="28"/>
      <c r="W31" s="33"/>
      <c r="X31" s="28"/>
      <c r="Y31" s="28"/>
      <c r="Z31" s="33"/>
      <c r="AA31" s="28"/>
      <c r="AB31" s="28"/>
      <c r="AC31" s="33"/>
      <c r="AD31" s="28"/>
      <c r="AE31" s="28"/>
      <c r="AF31" s="33"/>
      <c r="AG31" s="28"/>
      <c r="AH31" s="28"/>
      <c r="AI31" s="33"/>
      <c r="AJ31" s="28"/>
      <c r="AK31" s="28"/>
      <c r="AL31" s="33"/>
      <c r="AM31" s="28"/>
      <c r="AN31" s="28"/>
      <c r="AO31" s="33"/>
      <c r="AP31" s="28"/>
      <c r="AQ31" s="28"/>
      <c r="AR31" s="33"/>
      <c r="AS31" s="28"/>
      <c r="AT31" s="28"/>
      <c r="AU31" s="33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32">
        <f t="shared" si="0"/>
        <v>0</v>
      </c>
      <c r="CU31" s="30">
        <f t="shared" si="1"/>
        <v>0</v>
      </c>
      <c r="CV31" s="30"/>
      <c r="CW31" s="15">
        <f t="shared" si="2"/>
        <v>0</v>
      </c>
      <c r="CX31" s="2" t="e">
        <f>SUM(G31,J31,M31,P31,S31,V31,Y31,AB31,AE31,AH31,AK31,AN31,AQ31,#REF!)</f>
        <v>#REF!</v>
      </c>
    </row>
    <row r="32" spans="1:102" x14ac:dyDescent="0.3">
      <c r="A32" s="51">
        <v>21</v>
      </c>
      <c r="B32" s="57" t="s">
        <v>73</v>
      </c>
      <c r="C32" s="1" t="s">
        <v>104</v>
      </c>
      <c r="D32" s="34"/>
      <c r="E32" s="3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32">
        <f t="shared" si="0"/>
        <v>0</v>
      </c>
      <c r="CU32" s="30">
        <f t="shared" si="1"/>
        <v>0</v>
      </c>
      <c r="CV32" s="30"/>
      <c r="CW32" s="15">
        <f t="shared" si="2"/>
        <v>0</v>
      </c>
      <c r="CX32" s="2"/>
    </row>
    <row r="33" spans="1:102" x14ac:dyDescent="0.3">
      <c r="A33" s="60">
        <v>22</v>
      </c>
      <c r="B33" s="57" t="s">
        <v>88</v>
      </c>
      <c r="C33" s="1"/>
      <c r="D33" s="34"/>
      <c r="E33" s="33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32">
        <f t="shared" si="0"/>
        <v>0</v>
      </c>
      <c r="CU33" s="30">
        <f t="shared" si="1"/>
        <v>0</v>
      </c>
      <c r="CV33" s="30"/>
      <c r="CW33" s="15">
        <f t="shared" si="2"/>
        <v>0</v>
      </c>
      <c r="CX33" s="2"/>
    </row>
    <row r="34" spans="1:102" x14ac:dyDescent="0.3">
      <c r="A34" s="51">
        <v>23</v>
      </c>
      <c r="B34" s="56" t="s">
        <v>90</v>
      </c>
      <c r="C34" s="19"/>
      <c r="D34" s="35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2">
        <f t="shared" si="0"/>
        <v>0</v>
      </c>
      <c r="CU34" s="30">
        <f t="shared" si="1"/>
        <v>0</v>
      </c>
      <c r="CV34" s="30"/>
      <c r="CW34" s="15">
        <f t="shared" si="2"/>
        <v>0</v>
      </c>
      <c r="CX34" s="2"/>
    </row>
    <row r="35" spans="1:102" x14ac:dyDescent="0.3">
      <c r="A35" s="60">
        <v>24</v>
      </c>
      <c r="B35" s="57" t="s">
        <v>4</v>
      </c>
      <c r="C35" s="1" t="s">
        <v>42</v>
      </c>
      <c r="D35" s="34" t="s">
        <v>18</v>
      </c>
      <c r="E35" s="3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>
        <v>1</v>
      </c>
      <c r="BP35" s="28">
        <v>1</v>
      </c>
      <c r="BQ35" s="28"/>
      <c r="BR35" s="28">
        <v>1</v>
      </c>
      <c r="BS35" s="28">
        <v>1</v>
      </c>
      <c r="BT35" s="28"/>
      <c r="BU35" s="28">
        <v>1</v>
      </c>
      <c r="BV35" s="28">
        <v>1</v>
      </c>
      <c r="BW35" s="28"/>
      <c r="BX35" s="28">
        <v>1</v>
      </c>
      <c r="BY35" s="28">
        <v>1</v>
      </c>
      <c r="BZ35" s="28"/>
      <c r="CA35" s="28">
        <v>1</v>
      </c>
      <c r="CB35" s="28">
        <v>1</v>
      </c>
      <c r="CC35" s="28"/>
      <c r="CD35" s="28">
        <v>1</v>
      </c>
      <c r="CE35" s="28">
        <v>1</v>
      </c>
      <c r="CF35" s="28"/>
      <c r="CG35" s="28">
        <v>1</v>
      </c>
      <c r="CH35" s="28"/>
      <c r="CI35" s="28"/>
      <c r="CJ35" s="28">
        <v>1</v>
      </c>
      <c r="CK35" s="28">
        <v>1</v>
      </c>
      <c r="CL35" s="28"/>
      <c r="CM35" s="28"/>
      <c r="CN35" s="28">
        <v>1</v>
      </c>
      <c r="CO35" s="28"/>
      <c r="CP35" s="28">
        <v>1</v>
      </c>
      <c r="CQ35" s="28"/>
      <c r="CR35" s="28"/>
      <c r="CS35" s="28"/>
      <c r="CT35" s="32">
        <f t="shared" si="0"/>
        <v>8</v>
      </c>
      <c r="CU35" s="30">
        <f t="shared" si="1"/>
        <v>0</v>
      </c>
      <c r="CV35" s="30"/>
      <c r="CW35" s="15">
        <f t="shared" si="2"/>
        <v>9</v>
      </c>
      <c r="CX35" s="2" t="e">
        <f>SUM(G35,J35,M35,P35,S35,V35,Y35,AB35,AE35,AH35,AK35,AN35,AQ35,#REF!)</f>
        <v>#REF!</v>
      </c>
    </row>
    <row r="36" spans="1:102" x14ac:dyDescent="0.3">
      <c r="A36" s="51">
        <v>25</v>
      </c>
      <c r="B36" s="57" t="s">
        <v>121</v>
      </c>
      <c r="C36" s="1"/>
      <c r="D36" s="34"/>
      <c r="E36" s="3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>
        <v>1</v>
      </c>
      <c r="CB36" s="28"/>
      <c r="CC36" s="28"/>
      <c r="CD36" s="28">
        <v>1</v>
      </c>
      <c r="CE36" s="28"/>
      <c r="CF36" s="28"/>
      <c r="CG36" s="28"/>
      <c r="CH36" s="28"/>
      <c r="CI36" s="28"/>
      <c r="CJ36" s="28">
        <v>1</v>
      </c>
      <c r="CK36" s="28"/>
      <c r="CL36" s="28"/>
      <c r="CM36" s="28"/>
      <c r="CN36" s="28"/>
      <c r="CO36" s="28"/>
      <c r="CP36" s="28"/>
      <c r="CQ36" s="28"/>
      <c r="CR36" s="28"/>
      <c r="CS36" s="28"/>
      <c r="CT36" s="32">
        <f t="shared" si="0"/>
        <v>0</v>
      </c>
      <c r="CU36" s="30">
        <f t="shared" si="1"/>
        <v>0</v>
      </c>
      <c r="CV36" s="30"/>
      <c r="CW36" s="15">
        <f t="shared" si="2"/>
        <v>3</v>
      </c>
      <c r="CX36" s="8"/>
    </row>
    <row r="37" spans="1:102" x14ac:dyDescent="0.3">
      <c r="A37" s="60">
        <v>26</v>
      </c>
      <c r="B37" s="57" t="s">
        <v>123</v>
      </c>
      <c r="C37" s="1" t="s">
        <v>104</v>
      </c>
      <c r="D37" s="65" t="s">
        <v>17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>
        <v>1</v>
      </c>
      <c r="AU37" s="28"/>
      <c r="AV37" s="28"/>
      <c r="AW37" s="28">
        <v>1</v>
      </c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>
        <v>1</v>
      </c>
      <c r="BP37" s="28">
        <v>1</v>
      </c>
      <c r="BQ37" s="28"/>
      <c r="BR37" s="28">
        <v>1</v>
      </c>
      <c r="BS37" s="28">
        <v>1</v>
      </c>
      <c r="BT37" s="28"/>
      <c r="BU37" s="28">
        <v>1</v>
      </c>
      <c r="BV37" s="28">
        <v>1</v>
      </c>
      <c r="BW37" s="28"/>
      <c r="BX37" s="28">
        <v>1</v>
      </c>
      <c r="BY37" s="28">
        <v>1</v>
      </c>
      <c r="BZ37" s="28"/>
      <c r="CA37" s="28">
        <v>1</v>
      </c>
      <c r="CB37" s="28">
        <v>1</v>
      </c>
      <c r="CC37" s="28"/>
      <c r="CD37" s="28">
        <v>1</v>
      </c>
      <c r="CE37" s="28">
        <v>1</v>
      </c>
      <c r="CF37" s="28"/>
      <c r="CG37" s="28">
        <v>1</v>
      </c>
      <c r="CH37" s="28">
        <v>1</v>
      </c>
      <c r="CI37" s="28"/>
      <c r="CJ37" s="28">
        <v>1</v>
      </c>
      <c r="CK37" s="28"/>
      <c r="CL37" s="28"/>
      <c r="CM37" s="28">
        <v>1</v>
      </c>
      <c r="CN37" s="28">
        <v>1</v>
      </c>
      <c r="CO37" s="28"/>
      <c r="CP37" s="28">
        <v>1</v>
      </c>
      <c r="CQ37" s="28"/>
      <c r="CR37" s="28"/>
      <c r="CS37" s="28"/>
      <c r="CT37" s="32">
        <f t="shared" si="0"/>
        <v>8</v>
      </c>
      <c r="CU37" s="30">
        <f t="shared" si="1"/>
        <v>0</v>
      </c>
      <c r="CV37" s="30"/>
      <c r="CW37" s="15">
        <f t="shared" si="2"/>
        <v>12</v>
      </c>
      <c r="CX37" s="8" t="e">
        <f>SUM(G37,J37,M37,P37,S37,V37,Y37,AB37,AE37,AH37,AK37,AN37,AQ37,#REF!)</f>
        <v>#REF!</v>
      </c>
    </row>
    <row r="38" spans="1:102" x14ac:dyDescent="0.3">
      <c r="A38" s="51">
        <v>27</v>
      </c>
      <c r="B38" s="57" t="s">
        <v>93</v>
      </c>
      <c r="C38" s="1"/>
      <c r="D38" s="34"/>
      <c r="E38" s="33"/>
      <c r="F38" s="15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32">
        <f t="shared" si="0"/>
        <v>0</v>
      </c>
      <c r="CU38" s="30">
        <f t="shared" si="1"/>
        <v>0</v>
      </c>
      <c r="CV38" s="30"/>
      <c r="CW38" s="15">
        <f t="shared" si="2"/>
        <v>0</v>
      </c>
      <c r="CX38" s="8"/>
    </row>
    <row r="39" spans="1:102" x14ac:dyDescent="0.3">
      <c r="A39" s="60">
        <v>28</v>
      </c>
      <c r="B39" s="57" t="s">
        <v>99</v>
      </c>
      <c r="C39" s="1"/>
      <c r="D39" s="34"/>
      <c r="E39" s="3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32">
        <f t="shared" si="0"/>
        <v>0</v>
      </c>
      <c r="CU39" s="30">
        <f t="shared" si="1"/>
        <v>0</v>
      </c>
      <c r="CV39" s="30"/>
      <c r="CW39" s="15">
        <f t="shared" si="2"/>
        <v>0</v>
      </c>
      <c r="CX39" s="8"/>
    </row>
    <row r="40" spans="1:102" x14ac:dyDescent="0.3">
      <c r="A40" s="51">
        <v>29</v>
      </c>
      <c r="B40" s="57" t="s">
        <v>68</v>
      </c>
      <c r="C40" s="1"/>
      <c r="D40" s="34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32">
        <f t="shared" si="0"/>
        <v>0</v>
      </c>
      <c r="CU40" s="30">
        <f t="shared" si="1"/>
        <v>0</v>
      </c>
      <c r="CV40" s="30"/>
      <c r="CW40" s="15">
        <f t="shared" si="2"/>
        <v>0</v>
      </c>
      <c r="CX40" s="8"/>
    </row>
    <row r="41" spans="1:102" x14ac:dyDescent="0.3">
      <c r="A41" s="60">
        <v>30</v>
      </c>
      <c r="B41" s="57" t="s">
        <v>101</v>
      </c>
      <c r="C41" s="1"/>
      <c r="D41" s="34"/>
      <c r="E41" s="3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>
        <v>1</v>
      </c>
      <c r="BT41" s="28"/>
      <c r="BU41" s="28"/>
      <c r="BV41" s="28">
        <v>1</v>
      </c>
      <c r="BW41" s="28"/>
      <c r="BX41" s="28"/>
      <c r="BY41" s="28">
        <v>1</v>
      </c>
      <c r="BZ41" s="28"/>
      <c r="CA41" s="28"/>
      <c r="CB41" s="28">
        <v>1</v>
      </c>
      <c r="CC41" s="28"/>
      <c r="CD41" s="28"/>
      <c r="CE41" s="28">
        <v>1</v>
      </c>
      <c r="CF41" s="28"/>
      <c r="CG41" s="28"/>
      <c r="CH41" s="28"/>
      <c r="CI41" s="28"/>
      <c r="CJ41" s="28"/>
      <c r="CK41" s="28">
        <v>1</v>
      </c>
      <c r="CL41" s="28"/>
      <c r="CM41" s="28"/>
      <c r="CN41" s="28">
        <v>1</v>
      </c>
      <c r="CO41" s="28"/>
      <c r="CP41" s="28"/>
      <c r="CQ41" s="28"/>
      <c r="CR41" s="28"/>
      <c r="CS41" s="28"/>
      <c r="CT41" s="32">
        <f t="shared" si="0"/>
        <v>7</v>
      </c>
      <c r="CU41" s="30">
        <f t="shared" si="1"/>
        <v>0</v>
      </c>
      <c r="CV41" s="30"/>
      <c r="CW41" s="15">
        <f t="shared" si="2"/>
        <v>0</v>
      </c>
      <c r="CX41" s="8"/>
    </row>
    <row r="42" spans="1:102" x14ac:dyDescent="0.3">
      <c r="A42" s="51">
        <v>31</v>
      </c>
      <c r="B42" s="57" t="s">
        <v>82</v>
      </c>
      <c r="C42" s="1"/>
      <c r="D42" s="34"/>
      <c r="E42" s="3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32">
        <f t="shared" si="0"/>
        <v>0</v>
      </c>
      <c r="CU42" s="30">
        <f t="shared" si="1"/>
        <v>0</v>
      </c>
      <c r="CV42" s="30"/>
      <c r="CW42" s="15">
        <f t="shared" si="2"/>
        <v>0</v>
      </c>
      <c r="CX42" s="8"/>
    </row>
    <row r="43" spans="1:102" x14ac:dyDescent="0.3">
      <c r="A43" s="60">
        <v>32</v>
      </c>
      <c r="B43" s="57" t="s">
        <v>119</v>
      </c>
      <c r="C43" s="1" t="s">
        <v>104</v>
      </c>
      <c r="D43" s="34"/>
      <c r="E43" s="3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>
        <v>1</v>
      </c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32">
        <f t="shared" si="0"/>
        <v>1</v>
      </c>
      <c r="CU43" s="30">
        <f t="shared" si="1"/>
        <v>0</v>
      </c>
      <c r="CV43" s="30"/>
      <c r="CW43" s="15">
        <f t="shared" si="2"/>
        <v>0</v>
      </c>
      <c r="CX43" s="8"/>
    </row>
    <row r="44" spans="1:102" x14ac:dyDescent="0.3">
      <c r="A44" s="51">
        <v>33</v>
      </c>
      <c r="B44" s="57" t="s">
        <v>60</v>
      </c>
      <c r="C44" s="1"/>
      <c r="D44" s="34"/>
      <c r="E44" s="33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32">
        <f t="shared" ref="CT44:CT75" si="3">SUM(E44,H44,N44,Q44,T44,Z44,AC44,AF44,AI44,AL44,AO44,AX44,BA44,BD44,BG44,BJ44,BM44,BP44,BS44,BV44,BY44,CB44,CE44,CH44,CK44,CN44,CQ44,K44,W44,AR44,AU44)</f>
        <v>0</v>
      </c>
      <c r="CU44" s="30">
        <f t="shared" ref="CU44:CU75" si="4">SUM(F44,I44,L44,O44,R44,U44,X44,AA44,AD44,AG44,AJ44,AM44,AP44,AS44,AV44,AY44,BB44,BE44,BH44,BK44,BN44,BQ44,BT44,BW44,BZ44,CC44,CF44,CI44,CL44,CO44,CR44)</f>
        <v>0</v>
      </c>
      <c r="CV44" s="30"/>
      <c r="CW44" s="15">
        <f t="shared" ref="CW44:CW75" si="5">SUM(G44,J44,M44,P44,S44,V44,Y44,AB44,AE44,AH44,AK44,AN44,AQ44,AT44,AW44,AZ44,BC44,BF44,BI44,BL44,BO44,BR44,BU44,BX44,CA44,CD44,CG44,CJ44,CM44,CP44,CS44)</f>
        <v>0</v>
      </c>
      <c r="CX44" s="8"/>
    </row>
    <row r="45" spans="1:102" x14ac:dyDescent="0.3">
      <c r="A45" s="60">
        <v>34</v>
      </c>
      <c r="B45" s="57" t="s">
        <v>96</v>
      </c>
      <c r="C45" s="1"/>
      <c r="D45" s="34"/>
      <c r="E45" s="33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>
        <v>1</v>
      </c>
      <c r="BN45" s="28"/>
      <c r="BO45" s="28">
        <v>1</v>
      </c>
      <c r="BP45" s="28">
        <v>1</v>
      </c>
      <c r="BQ45" s="28"/>
      <c r="BR45" s="28">
        <v>1</v>
      </c>
      <c r="BS45" s="28">
        <v>1</v>
      </c>
      <c r="BT45" s="28"/>
      <c r="BU45" s="28">
        <v>1</v>
      </c>
      <c r="BV45" s="28">
        <v>1</v>
      </c>
      <c r="BW45" s="28"/>
      <c r="BX45" s="28">
        <v>1</v>
      </c>
      <c r="BY45" s="28">
        <v>1</v>
      </c>
      <c r="BZ45" s="28"/>
      <c r="CA45" s="28">
        <v>1</v>
      </c>
      <c r="CB45" s="28">
        <v>1</v>
      </c>
      <c r="CC45" s="28"/>
      <c r="CD45" s="28">
        <v>1</v>
      </c>
      <c r="CE45" s="28">
        <v>1</v>
      </c>
      <c r="CF45" s="28"/>
      <c r="CG45" s="28">
        <v>1</v>
      </c>
      <c r="CH45" s="28"/>
      <c r="CI45" s="28"/>
      <c r="CJ45" s="28">
        <v>1</v>
      </c>
      <c r="CK45" s="28"/>
      <c r="CL45" s="28"/>
      <c r="CM45" s="28"/>
      <c r="CN45" s="28"/>
      <c r="CO45" s="28"/>
      <c r="CP45" s="28"/>
      <c r="CQ45" s="28"/>
      <c r="CR45" s="28"/>
      <c r="CS45" s="28"/>
      <c r="CT45" s="32">
        <f t="shared" si="3"/>
        <v>7</v>
      </c>
      <c r="CU45" s="30">
        <f t="shared" si="4"/>
        <v>0</v>
      </c>
      <c r="CV45" s="30"/>
      <c r="CW45" s="15">
        <f t="shared" si="5"/>
        <v>8</v>
      </c>
      <c r="CX45" s="8"/>
    </row>
    <row r="46" spans="1:102" ht="15" thickBot="1" x14ac:dyDescent="0.35">
      <c r="A46" s="51">
        <v>35</v>
      </c>
      <c r="B46" s="57" t="s">
        <v>106</v>
      </c>
      <c r="C46" s="1" t="s">
        <v>104</v>
      </c>
      <c r="D46" s="34"/>
      <c r="E46" s="33"/>
      <c r="F46" s="28"/>
      <c r="G46" s="28"/>
      <c r="H46" s="33"/>
      <c r="I46" s="28"/>
      <c r="J46" s="28"/>
      <c r="K46" s="33"/>
      <c r="L46" s="28"/>
      <c r="M46" s="28"/>
      <c r="N46" s="33"/>
      <c r="O46" s="28"/>
      <c r="P46" s="28"/>
      <c r="Q46" s="33"/>
      <c r="R46" s="28"/>
      <c r="S46" s="28"/>
      <c r="T46" s="33"/>
      <c r="U46" s="28"/>
      <c r="V46" s="28"/>
      <c r="W46" s="33"/>
      <c r="X46" s="28"/>
      <c r="Y46" s="28"/>
      <c r="Z46" s="33"/>
      <c r="AA46" s="28"/>
      <c r="AB46" s="28"/>
      <c r="AC46" s="33"/>
      <c r="AD46" s="28"/>
      <c r="AE46" s="28"/>
      <c r="AF46" s="33"/>
      <c r="AG46" s="28"/>
      <c r="AH46" s="28"/>
      <c r="AI46" s="33"/>
      <c r="AJ46" s="28"/>
      <c r="AK46" s="28"/>
      <c r="AL46" s="33"/>
      <c r="AM46" s="28"/>
      <c r="AN46" s="28"/>
      <c r="AO46" s="33"/>
      <c r="AP46" s="28"/>
      <c r="AQ46" s="28"/>
      <c r="AR46" s="33"/>
      <c r="AS46" s="28"/>
      <c r="AT46" s="28"/>
      <c r="AU46" s="33"/>
      <c r="AV46" s="28"/>
      <c r="AW46" s="28"/>
      <c r="AX46" s="33"/>
      <c r="AY46" s="28"/>
      <c r="AZ46" s="28"/>
      <c r="BA46" s="33"/>
      <c r="BB46" s="28"/>
      <c r="BC46" s="28"/>
      <c r="BD46" s="33"/>
      <c r="BE46" s="28"/>
      <c r="BF46" s="28"/>
      <c r="BG46" s="33"/>
      <c r="BH46" s="28"/>
      <c r="BI46" s="28"/>
      <c r="BJ46" s="33"/>
      <c r="BK46" s="28"/>
      <c r="BL46" s="28"/>
      <c r="BM46" s="33"/>
      <c r="BN46" s="28"/>
      <c r="BO46" s="28"/>
      <c r="BP46" s="33"/>
      <c r="BQ46" s="28"/>
      <c r="BR46" s="28"/>
      <c r="BS46" s="33"/>
      <c r="BT46" s="28"/>
      <c r="BU46" s="28"/>
      <c r="BV46" s="33"/>
      <c r="BW46" s="28"/>
      <c r="BX46" s="28"/>
      <c r="BY46" s="33"/>
      <c r="BZ46" s="28"/>
      <c r="CA46" s="28"/>
      <c r="CB46" s="33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32">
        <f t="shared" si="3"/>
        <v>0</v>
      </c>
      <c r="CU46" s="30">
        <f t="shared" si="4"/>
        <v>0</v>
      </c>
      <c r="CV46" s="30"/>
      <c r="CW46" s="15">
        <f t="shared" si="5"/>
        <v>0</v>
      </c>
      <c r="CX46" s="3"/>
    </row>
    <row r="47" spans="1:102" ht="15" thickBot="1" x14ac:dyDescent="0.35">
      <c r="A47" s="60">
        <v>36</v>
      </c>
      <c r="B47" s="57" t="s">
        <v>115</v>
      </c>
      <c r="C47" s="1" t="s">
        <v>104</v>
      </c>
      <c r="D47" s="34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>
        <v>1</v>
      </c>
      <c r="BQ47" s="28"/>
      <c r="BR47" s="28"/>
      <c r="BS47" s="28">
        <v>1</v>
      </c>
      <c r="BT47" s="28"/>
      <c r="BU47" s="28"/>
      <c r="BV47" s="28">
        <v>1</v>
      </c>
      <c r="BW47" s="28"/>
      <c r="BX47" s="28"/>
      <c r="BY47" s="28">
        <v>1</v>
      </c>
      <c r="BZ47" s="28"/>
      <c r="CA47" s="28"/>
      <c r="CB47" s="28">
        <v>1</v>
      </c>
      <c r="CC47" s="28"/>
      <c r="CD47" s="28"/>
      <c r="CE47" s="28">
        <v>1</v>
      </c>
      <c r="CF47" s="28"/>
      <c r="CG47" s="28"/>
      <c r="CH47" s="28">
        <v>1</v>
      </c>
      <c r="CI47" s="28"/>
      <c r="CJ47" s="28"/>
      <c r="CK47" s="28"/>
      <c r="CL47" s="28"/>
      <c r="CM47" s="28"/>
      <c r="CN47" s="28">
        <v>1</v>
      </c>
      <c r="CO47" s="28"/>
      <c r="CP47" s="28"/>
      <c r="CQ47" s="28"/>
      <c r="CR47" s="28"/>
      <c r="CS47" s="28"/>
      <c r="CT47" s="32">
        <f t="shared" si="3"/>
        <v>8</v>
      </c>
      <c r="CU47" s="30">
        <f t="shared" si="4"/>
        <v>0</v>
      </c>
      <c r="CV47" s="30"/>
      <c r="CW47" s="15">
        <f t="shared" si="5"/>
        <v>0</v>
      </c>
      <c r="CX47" s="18"/>
    </row>
    <row r="48" spans="1:102" ht="15" thickBot="1" x14ac:dyDescent="0.35">
      <c r="A48" s="51">
        <v>37</v>
      </c>
      <c r="B48" s="57" t="s">
        <v>114</v>
      </c>
      <c r="C48" s="1"/>
      <c r="D48" s="34"/>
      <c r="E48" s="33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>
        <v>1</v>
      </c>
      <c r="BP48" s="28">
        <v>1</v>
      </c>
      <c r="BQ48" s="28"/>
      <c r="BR48" s="28">
        <v>1</v>
      </c>
      <c r="BS48" s="28">
        <v>1</v>
      </c>
      <c r="BT48" s="28"/>
      <c r="BU48" s="28">
        <v>1</v>
      </c>
      <c r="BV48" s="28">
        <v>1</v>
      </c>
      <c r="BW48" s="28"/>
      <c r="BX48" s="28">
        <v>1</v>
      </c>
      <c r="BY48" s="28">
        <v>1</v>
      </c>
      <c r="BZ48" s="28"/>
      <c r="CA48" s="28">
        <v>1</v>
      </c>
      <c r="CB48" s="28">
        <v>1</v>
      </c>
      <c r="CC48" s="28"/>
      <c r="CD48" s="28">
        <v>1</v>
      </c>
      <c r="CE48" s="28">
        <v>1</v>
      </c>
      <c r="CF48" s="28"/>
      <c r="CG48" s="28">
        <v>1</v>
      </c>
      <c r="CH48" s="28">
        <v>1</v>
      </c>
      <c r="CI48" s="28"/>
      <c r="CJ48" s="28">
        <v>1</v>
      </c>
      <c r="CK48" s="28"/>
      <c r="CL48" s="28"/>
      <c r="CM48" s="28"/>
      <c r="CN48" s="28">
        <v>1</v>
      </c>
      <c r="CO48" s="28"/>
      <c r="CP48" s="28"/>
      <c r="CQ48" s="28"/>
      <c r="CR48" s="28"/>
      <c r="CS48" s="28"/>
      <c r="CT48" s="32">
        <f t="shared" si="3"/>
        <v>8</v>
      </c>
      <c r="CU48" s="30">
        <f t="shared" si="4"/>
        <v>0</v>
      </c>
      <c r="CV48" s="30"/>
      <c r="CW48" s="15">
        <f t="shared" si="5"/>
        <v>8</v>
      </c>
      <c r="CX48" s="18"/>
    </row>
    <row r="49" spans="1:102" ht="15" thickBot="1" x14ac:dyDescent="0.35">
      <c r="A49" s="60">
        <v>38</v>
      </c>
      <c r="B49" s="57" t="s">
        <v>92</v>
      </c>
      <c r="C49" s="1"/>
      <c r="D49" s="34"/>
      <c r="E49" s="33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32">
        <f t="shared" si="3"/>
        <v>0</v>
      </c>
      <c r="CU49" s="30">
        <f t="shared" si="4"/>
        <v>0</v>
      </c>
      <c r="CV49" s="30"/>
      <c r="CW49" s="15">
        <f t="shared" si="5"/>
        <v>0</v>
      </c>
      <c r="CX49" s="18"/>
    </row>
    <row r="50" spans="1:102" ht="15" thickBot="1" x14ac:dyDescent="0.35">
      <c r="A50" s="51">
        <v>39</v>
      </c>
      <c r="B50" s="57" t="s">
        <v>113</v>
      </c>
      <c r="C50" s="1" t="s">
        <v>104</v>
      </c>
      <c r="D50" s="34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>
        <v>1</v>
      </c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32">
        <f t="shared" si="3"/>
        <v>0</v>
      </c>
      <c r="CU50" s="30">
        <f t="shared" si="4"/>
        <v>0</v>
      </c>
      <c r="CV50" s="30"/>
      <c r="CW50" s="15">
        <f t="shared" si="5"/>
        <v>1</v>
      </c>
      <c r="CX50" s="18"/>
    </row>
    <row r="51" spans="1:102" ht="15" thickBot="1" x14ac:dyDescent="0.35">
      <c r="A51" s="60">
        <v>40</v>
      </c>
      <c r="B51" s="57" t="s">
        <v>74</v>
      </c>
      <c r="C51" s="1"/>
      <c r="D51" s="34"/>
      <c r="E51" s="33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32">
        <f t="shared" si="3"/>
        <v>0</v>
      </c>
      <c r="CU51" s="30">
        <f t="shared" si="4"/>
        <v>0</v>
      </c>
      <c r="CV51" s="30"/>
      <c r="CW51" s="15">
        <f t="shared" si="5"/>
        <v>0</v>
      </c>
      <c r="CX51" s="18"/>
    </row>
    <row r="52" spans="1:102" ht="15" thickBot="1" x14ac:dyDescent="0.35">
      <c r="A52" s="51">
        <v>41</v>
      </c>
      <c r="B52" s="57" t="s">
        <v>105</v>
      </c>
      <c r="C52" s="1" t="s">
        <v>104</v>
      </c>
      <c r="D52" s="34"/>
      <c r="E52" s="33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32">
        <f t="shared" si="3"/>
        <v>0</v>
      </c>
      <c r="CU52" s="30">
        <f t="shared" si="4"/>
        <v>0</v>
      </c>
      <c r="CV52" s="30"/>
      <c r="CW52" s="15">
        <f t="shared" si="5"/>
        <v>0</v>
      </c>
      <c r="CX52" s="18"/>
    </row>
    <row r="53" spans="1:102" ht="15" thickBot="1" x14ac:dyDescent="0.35">
      <c r="A53" s="60">
        <v>42</v>
      </c>
      <c r="B53" s="57" t="s">
        <v>65</v>
      </c>
      <c r="C53" s="1"/>
      <c r="D53" s="34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32">
        <f t="shared" si="3"/>
        <v>0</v>
      </c>
      <c r="CU53" s="30">
        <f t="shared" si="4"/>
        <v>0</v>
      </c>
      <c r="CV53" s="30"/>
      <c r="CW53" s="15">
        <f t="shared" si="5"/>
        <v>0</v>
      </c>
      <c r="CX53" s="18"/>
    </row>
    <row r="54" spans="1:102" ht="15" thickBot="1" x14ac:dyDescent="0.35">
      <c r="A54" s="51">
        <v>43</v>
      </c>
      <c r="B54" s="57" t="s">
        <v>57</v>
      </c>
      <c r="C54" s="1"/>
      <c r="D54" s="34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32">
        <f t="shared" si="3"/>
        <v>0</v>
      </c>
      <c r="CU54" s="30">
        <f t="shared" si="4"/>
        <v>0</v>
      </c>
      <c r="CV54" s="30"/>
      <c r="CW54" s="15">
        <f t="shared" si="5"/>
        <v>0</v>
      </c>
      <c r="CX54" s="18"/>
    </row>
    <row r="55" spans="1:102" ht="15" thickBot="1" x14ac:dyDescent="0.35">
      <c r="A55" s="60">
        <v>44</v>
      </c>
      <c r="B55" s="57" t="s">
        <v>41</v>
      </c>
      <c r="C55" s="1" t="s">
        <v>43</v>
      </c>
      <c r="D55" s="34" t="s">
        <v>17</v>
      </c>
      <c r="E55" s="33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32">
        <f t="shared" si="3"/>
        <v>0</v>
      </c>
      <c r="CU55" s="30">
        <f t="shared" si="4"/>
        <v>0</v>
      </c>
      <c r="CV55" s="30"/>
      <c r="CW55" s="15">
        <f t="shared" si="5"/>
        <v>0</v>
      </c>
      <c r="CX55" s="18"/>
    </row>
    <row r="56" spans="1:102" ht="15" thickBot="1" x14ac:dyDescent="0.35">
      <c r="A56" s="51">
        <v>45</v>
      </c>
      <c r="B56" s="57" t="s">
        <v>103</v>
      </c>
      <c r="C56" s="1" t="s">
        <v>104</v>
      </c>
      <c r="D56" s="34"/>
      <c r="E56" s="33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32">
        <f t="shared" si="3"/>
        <v>0</v>
      </c>
      <c r="CU56" s="30">
        <f t="shared" si="4"/>
        <v>0</v>
      </c>
      <c r="CV56" s="30"/>
      <c r="CW56" s="15">
        <f t="shared" si="5"/>
        <v>0</v>
      </c>
      <c r="CX56" s="18"/>
    </row>
    <row r="57" spans="1:102" ht="15" thickBot="1" x14ac:dyDescent="0.35">
      <c r="A57" s="60">
        <v>46</v>
      </c>
      <c r="B57" s="57" t="s">
        <v>95</v>
      </c>
      <c r="C57" s="1"/>
      <c r="D57" s="34"/>
      <c r="E57" s="33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32">
        <f t="shared" si="3"/>
        <v>0</v>
      </c>
      <c r="CU57" s="30">
        <f t="shared" si="4"/>
        <v>0</v>
      </c>
      <c r="CV57" s="30"/>
      <c r="CW57" s="15">
        <f t="shared" si="5"/>
        <v>0</v>
      </c>
      <c r="CX57" s="18"/>
    </row>
    <row r="58" spans="1:102" ht="15" thickBot="1" x14ac:dyDescent="0.35">
      <c r="A58" s="51">
        <v>47</v>
      </c>
      <c r="B58" s="57" t="s">
        <v>78</v>
      </c>
      <c r="C58" s="1" t="s">
        <v>104</v>
      </c>
      <c r="D58" s="34" t="s">
        <v>17</v>
      </c>
      <c r="E58" s="33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32">
        <f t="shared" si="3"/>
        <v>0</v>
      </c>
      <c r="CU58" s="30">
        <f t="shared" si="4"/>
        <v>0</v>
      </c>
      <c r="CV58" s="30"/>
      <c r="CW58" s="15">
        <f t="shared" si="5"/>
        <v>0</v>
      </c>
      <c r="CX58" s="18"/>
    </row>
    <row r="59" spans="1:102" ht="15" thickBot="1" x14ac:dyDescent="0.35">
      <c r="A59" s="60">
        <v>48</v>
      </c>
      <c r="B59" s="57" t="s">
        <v>86</v>
      </c>
      <c r="C59" s="1"/>
      <c r="D59" s="34"/>
      <c r="E59" s="33"/>
      <c r="F59" s="28"/>
      <c r="G59" s="28"/>
      <c r="H59" s="33"/>
      <c r="I59" s="28"/>
      <c r="J59" s="28"/>
      <c r="K59" s="33"/>
      <c r="L59" s="28"/>
      <c r="M59" s="28"/>
      <c r="N59" s="33"/>
      <c r="O59" s="28"/>
      <c r="P59" s="28"/>
      <c r="Q59" s="33"/>
      <c r="R59" s="28"/>
      <c r="S59" s="28"/>
      <c r="T59" s="33"/>
      <c r="U59" s="28"/>
      <c r="V59" s="28"/>
      <c r="W59" s="33"/>
      <c r="X59" s="28"/>
      <c r="Y59" s="28"/>
      <c r="Z59" s="33"/>
      <c r="AA59" s="28"/>
      <c r="AB59" s="28"/>
      <c r="AC59" s="33"/>
      <c r="AD59" s="28"/>
      <c r="AE59" s="28"/>
      <c r="AF59" s="33"/>
      <c r="AG59" s="28"/>
      <c r="AH59" s="28"/>
      <c r="AI59" s="33"/>
      <c r="AJ59" s="28"/>
      <c r="AK59" s="28"/>
      <c r="AL59" s="33"/>
      <c r="AM59" s="28"/>
      <c r="AN59" s="28"/>
      <c r="AO59" s="33"/>
      <c r="AP59" s="28"/>
      <c r="AQ59" s="28"/>
      <c r="AR59" s="33"/>
      <c r="AS59" s="28"/>
      <c r="AT59" s="28"/>
      <c r="AU59" s="33"/>
      <c r="AV59" s="28"/>
      <c r="AW59" s="28"/>
      <c r="AX59" s="33"/>
      <c r="AY59" s="28"/>
      <c r="AZ59" s="28"/>
      <c r="BA59" s="33"/>
      <c r="BB59" s="28"/>
      <c r="BC59" s="28"/>
      <c r="BD59" s="33"/>
      <c r="BE59" s="28"/>
      <c r="BF59" s="28"/>
      <c r="BG59" s="33"/>
      <c r="BH59" s="28"/>
      <c r="BI59" s="28"/>
      <c r="BJ59" s="33"/>
      <c r="BK59" s="28"/>
      <c r="BL59" s="28"/>
      <c r="BM59" s="33"/>
      <c r="BN59" s="28"/>
      <c r="BO59" s="28">
        <v>1</v>
      </c>
      <c r="BP59" s="33">
        <v>1</v>
      </c>
      <c r="BQ59" s="28"/>
      <c r="BR59" s="28">
        <v>1</v>
      </c>
      <c r="BS59" s="33">
        <v>1</v>
      </c>
      <c r="BT59" s="28"/>
      <c r="BU59" s="28">
        <v>1</v>
      </c>
      <c r="BV59" s="33">
        <v>1</v>
      </c>
      <c r="BW59" s="28">
        <v>1</v>
      </c>
      <c r="BX59" s="28">
        <v>1</v>
      </c>
      <c r="BY59" s="33">
        <v>1</v>
      </c>
      <c r="BZ59" s="28"/>
      <c r="CA59" s="28">
        <v>1</v>
      </c>
      <c r="CB59" s="33">
        <v>1</v>
      </c>
      <c r="CC59" s="28"/>
      <c r="CD59" s="28">
        <v>1</v>
      </c>
      <c r="CE59" s="28">
        <v>1</v>
      </c>
      <c r="CF59" s="28"/>
      <c r="CG59" s="28">
        <v>1</v>
      </c>
      <c r="CH59" s="28"/>
      <c r="CI59" s="28"/>
      <c r="CJ59" s="28">
        <v>1</v>
      </c>
      <c r="CK59" s="28">
        <v>1</v>
      </c>
      <c r="CL59" s="28"/>
      <c r="CM59" s="28">
        <v>1</v>
      </c>
      <c r="CN59" s="28">
        <v>1</v>
      </c>
      <c r="CO59" s="28"/>
      <c r="CP59" s="28">
        <v>1</v>
      </c>
      <c r="CQ59" s="28"/>
      <c r="CR59" s="28"/>
      <c r="CS59" s="28"/>
      <c r="CT59" s="32">
        <f t="shared" si="3"/>
        <v>8</v>
      </c>
      <c r="CU59" s="30">
        <f t="shared" si="4"/>
        <v>1</v>
      </c>
      <c r="CV59" s="30"/>
      <c r="CW59" s="15">
        <f t="shared" si="5"/>
        <v>10</v>
      </c>
      <c r="CX59" s="18"/>
    </row>
    <row r="60" spans="1:102" ht="15" thickBot="1" x14ac:dyDescent="0.35">
      <c r="A60" s="51">
        <v>49</v>
      </c>
      <c r="B60" s="57" t="s">
        <v>116</v>
      </c>
      <c r="C60" s="1" t="s">
        <v>104</v>
      </c>
      <c r="D60" s="3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>
        <v>1</v>
      </c>
      <c r="BQ60" s="33"/>
      <c r="BR60" s="33">
        <v>1</v>
      </c>
      <c r="BS60" s="33">
        <v>1</v>
      </c>
      <c r="BT60" s="33"/>
      <c r="BU60" s="33">
        <v>1</v>
      </c>
      <c r="BV60" s="33">
        <v>1</v>
      </c>
      <c r="BW60" s="33"/>
      <c r="BX60" s="33">
        <v>1</v>
      </c>
      <c r="BY60" s="33">
        <v>1</v>
      </c>
      <c r="BZ60" s="33"/>
      <c r="CA60" s="33">
        <v>1</v>
      </c>
      <c r="CB60" s="33">
        <v>1</v>
      </c>
      <c r="CC60" s="33"/>
      <c r="CD60" s="33">
        <v>1</v>
      </c>
      <c r="CE60" s="33">
        <v>1</v>
      </c>
      <c r="CF60" s="33"/>
      <c r="CG60" s="33">
        <v>1</v>
      </c>
      <c r="CH60" s="33"/>
      <c r="CI60" s="33"/>
      <c r="CJ60" s="33">
        <v>1</v>
      </c>
      <c r="CK60" s="33">
        <v>1</v>
      </c>
      <c r="CL60" s="33"/>
      <c r="CM60" s="33">
        <v>1</v>
      </c>
      <c r="CN60" s="33">
        <v>1</v>
      </c>
      <c r="CO60" s="33"/>
      <c r="CP60" s="33">
        <v>1</v>
      </c>
      <c r="CQ60" s="33"/>
      <c r="CR60" s="33"/>
      <c r="CS60" s="33"/>
      <c r="CT60" s="32">
        <f t="shared" si="3"/>
        <v>8</v>
      </c>
      <c r="CU60" s="30">
        <f t="shared" si="4"/>
        <v>0</v>
      </c>
      <c r="CV60" s="30"/>
      <c r="CW60" s="15">
        <f t="shared" si="5"/>
        <v>9</v>
      </c>
      <c r="CX60" s="18"/>
    </row>
    <row r="61" spans="1:102" ht="15" thickBot="1" x14ac:dyDescent="0.35">
      <c r="A61" s="60">
        <v>50</v>
      </c>
      <c r="B61" s="57" t="s">
        <v>112</v>
      </c>
      <c r="C61" s="1" t="s">
        <v>104</v>
      </c>
      <c r="D61" s="34"/>
      <c r="E61" s="33"/>
      <c r="F61" s="28"/>
      <c r="G61" s="28">
        <v>1</v>
      </c>
      <c r="H61" s="28"/>
      <c r="I61" s="28"/>
      <c r="J61" s="28">
        <v>1</v>
      </c>
      <c r="K61" s="28"/>
      <c r="L61" s="28"/>
      <c r="M61" s="28">
        <v>1</v>
      </c>
      <c r="N61" s="28"/>
      <c r="O61" s="28"/>
      <c r="P61" s="28">
        <v>1</v>
      </c>
      <c r="Q61" s="28"/>
      <c r="R61" s="28"/>
      <c r="S61" s="28">
        <v>1</v>
      </c>
      <c r="T61" s="28">
        <v>1</v>
      </c>
      <c r="U61" s="28">
        <v>1</v>
      </c>
      <c r="V61" s="28">
        <v>1</v>
      </c>
      <c r="W61" s="28"/>
      <c r="X61" s="28"/>
      <c r="Y61" s="28">
        <v>1</v>
      </c>
      <c r="Z61" s="28"/>
      <c r="AA61" s="28"/>
      <c r="AB61" s="28">
        <v>1</v>
      </c>
      <c r="AC61" s="28"/>
      <c r="AD61" s="28"/>
      <c r="AE61" s="28">
        <v>1</v>
      </c>
      <c r="AF61" s="28"/>
      <c r="AG61" s="28"/>
      <c r="AH61" s="28">
        <v>1</v>
      </c>
      <c r="AI61" s="28"/>
      <c r="AJ61" s="28"/>
      <c r="AK61" s="28">
        <v>1</v>
      </c>
      <c r="AL61" s="28"/>
      <c r="AM61" s="28"/>
      <c r="AN61" s="28"/>
      <c r="AO61" s="28"/>
      <c r="AP61" s="28"/>
      <c r="AQ61" s="28"/>
      <c r="AR61" s="28"/>
      <c r="AS61" s="28"/>
      <c r="AT61" s="28">
        <v>1</v>
      </c>
      <c r="AU61" s="28"/>
      <c r="AV61" s="28"/>
      <c r="AW61" s="28">
        <v>1</v>
      </c>
      <c r="AX61" s="28"/>
      <c r="AY61" s="28"/>
      <c r="AZ61" s="28">
        <v>1</v>
      </c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>
        <v>1</v>
      </c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32">
        <f t="shared" si="3"/>
        <v>1</v>
      </c>
      <c r="CU61" s="30">
        <f t="shared" si="4"/>
        <v>1</v>
      </c>
      <c r="CV61" s="30"/>
      <c r="CW61" s="15">
        <f t="shared" si="5"/>
        <v>15</v>
      </c>
      <c r="CX61" s="18"/>
    </row>
    <row r="62" spans="1:102" ht="15" thickBot="1" x14ac:dyDescent="0.35">
      <c r="A62" s="51">
        <v>51</v>
      </c>
      <c r="B62" s="57" t="s">
        <v>71</v>
      </c>
      <c r="C62" s="1"/>
      <c r="D62" s="34"/>
      <c r="E62" s="33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>
        <v>1</v>
      </c>
      <c r="BS62" s="28">
        <v>1</v>
      </c>
      <c r="BT62" s="28"/>
      <c r="BU62" s="28">
        <v>1</v>
      </c>
      <c r="BV62" s="28">
        <v>1</v>
      </c>
      <c r="BW62" s="28"/>
      <c r="BX62" s="28">
        <v>1</v>
      </c>
      <c r="BY62" s="28">
        <v>1</v>
      </c>
      <c r="BZ62" s="28"/>
      <c r="CA62" s="28">
        <v>1</v>
      </c>
      <c r="CB62" s="28">
        <v>1</v>
      </c>
      <c r="CC62" s="28"/>
      <c r="CD62" s="28">
        <v>1</v>
      </c>
      <c r="CE62" s="28">
        <v>1</v>
      </c>
      <c r="CF62" s="28"/>
      <c r="CG62" s="28">
        <v>1</v>
      </c>
      <c r="CH62" s="28"/>
      <c r="CI62" s="28"/>
      <c r="CJ62" s="28">
        <v>1</v>
      </c>
      <c r="CK62" s="28">
        <v>1</v>
      </c>
      <c r="CL62" s="28"/>
      <c r="CM62" s="28">
        <v>1</v>
      </c>
      <c r="CN62" s="28">
        <v>1</v>
      </c>
      <c r="CO62" s="28"/>
      <c r="CP62" s="28">
        <v>1</v>
      </c>
      <c r="CQ62" s="28"/>
      <c r="CR62" s="28"/>
      <c r="CS62" s="28"/>
      <c r="CT62" s="32">
        <f t="shared" si="3"/>
        <v>7</v>
      </c>
      <c r="CU62" s="30">
        <f t="shared" si="4"/>
        <v>0</v>
      </c>
      <c r="CV62" s="30"/>
      <c r="CW62" s="15">
        <f t="shared" si="5"/>
        <v>9</v>
      </c>
      <c r="CX62" s="18"/>
    </row>
    <row r="63" spans="1:102" ht="15" thickBot="1" x14ac:dyDescent="0.35">
      <c r="A63" s="60">
        <v>52</v>
      </c>
      <c r="B63" s="57" t="s">
        <v>85</v>
      </c>
      <c r="C63" s="1"/>
      <c r="D63" s="34"/>
      <c r="E63" s="33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80"/>
      <c r="AH63" s="28"/>
      <c r="AI63" s="28"/>
      <c r="AJ63" s="80"/>
      <c r="AK63" s="28"/>
      <c r="AL63" s="28"/>
      <c r="AM63" s="80"/>
      <c r="AN63" s="28"/>
      <c r="AO63" s="28"/>
      <c r="AP63" s="80"/>
      <c r="AQ63" s="28"/>
      <c r="AR63" s="28"/>
      <c r="AS63" s="80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>
        <v>1</v>
      </c>
      <c r="BP63" s="28">
        <v>1</v>
      </c>
      <c r="BQ63" s="28"/>
      <c r="BR63" s="28">
        <v>1</v>
      </c>
      <c r="BS63" s="28">
        <v>1</v>
      </c>
      <c r="BT63" s="28"/>
      <c r="BU63" s="28">
        <v>1</v>
      </c>
      <c r="BV63" s="28">
        <v>1</v>
      </c>
      <c r="BW63" s="28"/>
      <c r="BX63" s="28">
        <v>1</v>
      </c>
      <c r="BY63" s="28">
        <v>1</v>
      </c>
      <c r="BZ63" s="28"/>
      <c r="CA63" s="28">
        <v>1</v>
      </c>
      <c r="CB63" s="28">
        <v>1</v>
      </c>
      <c r="CC63" s="28"/>
      <c r="CD63" s="28">
        <v>1</v>
      </c>
      <c r="CE63" s="28">
        <v>1</v>
      </c>
      <c r="CF63" s="28"/>
      <c r="CG63" s="28">
        <v>1</v>
      </c>
      <c r="CH63" s="28"/>
      <c r="CI63" s="28"/>
      <c r="CJ63" s="28">
        <v>1</v>
      </c>
      <c r="CK63" s="28">
        <v>1</v>
      </c>
      <c r="CL63" s="28"/>
      <c r="CM63" s="28">
        <v>1</v>
      </c>
      <c r="CN63" s="28">
        <v>1</v>
      </c>
      <c r="CO63" s="28"/>
      <c r="CP63" s="28">
        <v>1</v>
      </c>
      <c r="CQ63" s="28"/>
      <c r="CR63" s="28"/>
      <c r="CS63" s="28"/>
      <c r="CT63" s="32">
        <f t="shared" si="3"/>
        <v>8</v>
      </c>
      <c r="CU63" s="30">
        <f t="shared" si="4"/>
        <v>0</v>
      </c>
      <c r="CV63" s="30"/>
      <c r="CW63" s="15">
        <f t="shared" si="5"/>
        <v>10</v>
      </c>
      <c r="CX63" s="18"/>
    </row>
    <row r="64" spans="1:102" ht="15" thickBot="1" x14ac:dyDescent="0.35">
      <c r="A64" s="51">
        <v>53</v>
      </c>
      <c r="B64" s="57" t="s">
        <v>122</v>
      </c>
      <c r="C64" s="1" t="s">
        <v>104</v>
      </c>
      <c r="D64" s="34"/>
      <c r="E64" s="33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>
        <v>1</v>
      </c>
      <c r="BZ64" s="28"/>
      <c r="CA64" s="28"/>
      <c r="CB64" s="28">
        <v>1</v>
      </c>
      <c r="CC64" s="28"/>
      <c r="CD64" s="28"/>
      <c r="CE64" s="28">
        <v>1</v>
      </c>
      <c r="CF64" s="28"/>
      <c r="CG64" s="28"/>
      <c r="CH64" s="28"/>
      <c r="CI64" s="28"/>
      <c r="CJ64" s="28"/>
      <c r="CK64" s="28">
        <v>1</v>
      </c>
      <c r="CL64" s="28"/>
      <c r="CM64" s="28"/>
      <c r="CN64" s="28">
        <v>1</v>
      </c>
      <c r="CO64" s="28"/>
      <c r="CP64" s="28"/>
      <c r="CQ64" s="28"/>
      <c r="CR64" s="28"/>
      <c r="CS64" s="28"/>
      <c r="CT64" s="32">
        <f t="shared" si="3"/>
        <v>5</v>
      </c>
      <c r="CU64" s="30">
        <f t="shared" si="4"/>
        <v>0</v>
      </c>
      <c r="CV64" s="30"/>
      <c r="CW64" s="15">
        <f t="shared" si="5"/>
        <v>0</v>
      </c>
      <c r="CX64" s="18"/>
    </row>
    <row r="65" spans="1:102" ht="15" thickBot="1" x14ac:dyDescent="0.35">
      <c r="A65" s="60">
        <v>54</v>
      </c>
      <c r="B65" s="57" t="s">
        <v>107</v>
      </c>
      <c r="C65" s="1" t="s">
        <v>104</v>
      </c>
      <c r="D65" s="34"/>
      <c r="E65" s="33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32">
        <f t="shared" si="3"/>
        <v>0</v>
      </c>
      <c r="CU65" s="30">
        <f t="shared" si="4"/>
        <v>0</v>
      </c>
      <c r="CV65" s="30"/>
      <c r="CW65" s="15">
        <f t="shared" si="5"/>
        <v>0</v>
      </c>
      <c r="CX65" s="18"/>
    </row>
    <row r="66" spans="1:102" ht="15" thickBot="1" x14ac:dyDescent="0.35">
      <c r="A66" s="51">
        <v>55</v>
      </c>
      <c r="B66" s="57" t="s">
        <v>35</v>
      </c>
      <c r="C66" s="1" t="s">
        <v>42</v>
      </c>
      <c r="D66" s="34" t="s">
        <v>18</v>
      </c>
      <c r="E66" s="33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>
        <v>1</v>
      </c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>
        <v>1</v>
      </c>
      <c r="BP66" s="28">
        <v>1</v>
      </c>
      <c r="BQ66" s="28"/>
      <c r="BR66" s="28">
        <v>1</v>
      </c>
      <c r="BS66" s="28">
        <v>1</v>
      </c>
      <c r="BT66" s="28"/>
      <c r="BU66" s="28">
        <v>1</v>
      </c>
      <c r="BV66" s="28">
        <v>1</v>
      </c>
      <c r="BW66" s="28"/>
      <c r="BX66" s="28">
        <v>1</v>
      </c>
      <c r="BY66" s="28">
        <v>1</v>
      </c>
      <c r="BZ66" s="28"/>
      <c r="CA66" s="28">
        <v>1</v>
      </c>
      <c r="CB66" s="28">
        <v>1</v>
      </c>
      <c r="CC66" s="28"/>
      <c r="CD66" s="28">
        <v>1</v>
      </c>
      <c r="CE66" s="28">
        <v>1</v>
      </c>
      <c r="CF66" s="28"/>
      <c r="CG66" s="28">
        <v>1</v>
      </c>
      <c r="CH66" s="28"/>
      <c r="CI66" s="28"/>
      <c r="CJ66" s="28">
        <v>1</v>
      </c>
      <c r="CK66" s="28">
        <v>1</v>
      </c>
      <c r="CL66" s="28"/>
      <c r="CM66" s="28">
        <v>1</v>
      </c>
      <c r="CN66" s="28">
        <v>1</v>
      </c>
      <c r="CO66" s="28"/>
      <c r="CP66" s="28">
        <v>1</v>
      </c>
      <c r="CQ66" s="28"/>
      <c r="CR66" s="28"/>
      <c r="CS66" s="28"/>
      <c r="CT66" s="32">
        <f t="shared" si="3"/>
        <v>8</v>
      </c>
      <c r="CU66" s="30">
        <f t="shared" si="4"/>
        <v>0</v>
      </c>
      <c r="CV66" s="30"/>
      <c r="CW66" s="15">
        <f t="shared" si="5"/>
        <v>11</v>
      </c>
      <c r="CX66" s="18" t="e">
        <f>SUM(G66,J66,M66,P66,S66,V66,Y66,AB66,AE66,AH66,AK66,AN66,AQ66,#REF!)</f>
        <v>#REF!</v>
      </c>
    </row>
    <row r="67" spans="1:102" ht="15" thickBot="1" x14ac:dyDescent="0.35">
      <c r="A67" s="60">
        <v>56</v>
      </c>
      <c r="B67" s="57" t="s">
        <v>81</v>
      </c>
      <c r="C67" s="1" t="s">
        <v>42</v>
      </c>
      <c r="D67" s="34" t="s">
        <v>16</v>
      </c>
      <c r="E67" s="33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>
        <v>1</v>
      </c>
      <c r="BP67" s="28">
        <v>1</v>
      </c>
      <c r="BQ67" s="28"/>
      <c r="BR67" s="28">
        <v>1</v>
      </c>
      <c r="BS67" s="28">
        <v>1</v>
      </c>
      <c r="BT67" s="28"/>
      <c r="BU67" s="28">
        <v>1</v>
      </c>
      <c r="BV67" s="28">
        <v>1</v>
      </c>
      <c r="BW67" s="28"/>
      <c r="BX67" s="28">
        <v>1</v>
      </c>
      <c r="BY67" s="28">
        <v>1</v>
      </c>
      <c r="BZ67" s="28"/>
      <c r="CA67" s="28">
        <v>1</v>
      </c>
      <c r="CB67" s="28">
        <v>1</v>
      </c>
      <c r="CC67" s="28"/>
      <c r="CD67" s="28">
        <v>1</v>
      </c>
      <c r="CE67" s="28">
        <v>1</v>
      </c>
      <c r="CF67" s="28"/>
      <c r="CG67" s="28">
        <v>1</v>
      </c>
      <c r="CH67" s="28"/>
      <c r="CI67" s="28"/>
      <c r="CJ67" s="28">
        <v>1</v>
      </c>
      <c r="CK67" s="28">
        <v>1</v>
      </c>
      <c r="CL67" s="28"/>
      <c r="CM67" s="28">
        <v>1</v>
      </c>
      <c r="CN67" s="28">
        <v>1</v>
      </c>
      <c r="CO67" s="28"/>
      <c r="CP67" s="28">
        <v>1</v>
      </c>
      <c r="CQ67" s="28"/>
      <c r="CR67" s="28"/>
      <c r="CS67" s="28"/>
      <c r="CT67" s="32">
        <f t="shared" si="3"/>
        <v>8</v>
      </c>
      <c r="CU67" s="30">
        <f t="shared" si="4"/>
        <v>0</v>
      </c>
      <c r="CV67" s="30"/>
      <c r="CW67" s="15">
        <f t="shared" si="5"/>
        <v>10</v>
      </c>
      <c r="CX67" s="18"/>
    </row>
    <row r="68" spans="1:102" ht="15" thickBot="1" x14ac:dyDescent="0.35">
      <c r="A68" s="51">
        <v>57</v>
      </c>
      <c r="B68" s="57" t="s">
        <v>117</v>
      </c>
      <c r="C68" s="1" t="s">
        <v>43</v>
      </c>
      <c r="D68" s="34" t="s">
        <v>18</v>
      </c>
      <c r="E68" s="33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>
        <v>1</v>
      </c>
      <c r="BQ68" s="28"/>
      <c r="BR68" s="28">
        <v>1</v>
      </c>
      <c r="BS68" s="28">
        <v>1</v>
      </c>
      <c r="BT68" s="28"/>
      <c r="BU68" s="28">
        <v>1</v>
      </c>
      <c r="BV68" s="28">
        <v>1</v>
      </c>
      <c r="BW68" s="28"/>
      <c r="BX68" s="28">
        <v>1</v>
      </c>
      <c r="BY68" s="28">
        <v>1</v>
      </c>
      <c r="BZ68" s="28"/>
      <c r="CA68" s="28">
        <v>1</v>
      </c>
      <c r="CB68" s="28">
        <v>1</v>
      </c>
      <c r="CC68" s="28"/>
      <c r="CD68" s="28">
        <v>1</v>
      </c>
      <c r="CE68" s="28">
        <v>1</v>
      </c>
      <c r="CF68" s="28"/>
      <c r="CG68" s="28">
        <v>1</v>
      </c>
      <c r="CH68" s="28"/>
      <c r="CI68" s="28"/>
      <c r="CJ68" s="28">
        <v>1</v>
      </c>
      <c r="CK68" s="28">
        <v>1</v>
      </c>
      <c r="CL68" s="28"/>
      <c r="CM68" s="28">
        <v>1</v>
      </c>
      <c r="CN68" s="28">
        <v>1</v>
      </c>
      <c r="CO68" s="28"/>
      <c r="CP68" s="28">
        <v>1</v>
      </c>
      <c r="CQ68" s="28"/>
      <c r="CR68" s="28"/>
      <c r="CS68" s="28"/>
      <c r="CT68" s="32">
        <f t="shared" si="3"/>
        <v>8</v>
      </c>
      <c r="CU68" s="30">
        <f t="shared" si="4"/>
        <v>0</v>
      </c>
      <c r="CV68" s="30"/>
      <c r="CW68" s="15">
        <f t="shared" si="5"/>
        <v>9</v>
      </c>
      <c r="CX68" s="18"/>
    </row>
    <row r="69" spans="1:102" ht="15" thickBot="1" x14ac:dyDescent="0.35">
      <c r="A69" s="60">
        <v>58</v>
      </c>
      <c r="B69" s="57" t="s">
        <v>46</v>
      </c>
      <c r="C69" s="1"/>
      <c r="D69" s="34"/>
      <c r="E69" s="33"/>
      <c r="F69" s="15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32">
        <f t="shared" si="3"/>
        <v>0</v>
      </c>
      <c r="CU69" s="30">
        <f t="shared" si="4"/>
        <v>0</v>
      </c>
      <c r="CV69" s="30"/>
      <c r="CW69" s="15">
        <f t="shared" si="5"/>
        <v>0</v>
      </c>
      <c r="CX69" s="18"/>
    </row>
    <row r="70" spans="1:102" ht="15" thickBot="1" x14ac:dyDescent="0.35">
      <c r="A70" s="51">
        <v>59</v>
      </c>
      <c r="B70" s="57" t="s">
        <v>84</v>
      </c>
      <c r="C70" s="1"/>
      <c r="D70" s="34"/>
      <c r="E70" s="33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32">
        <f t="shared" si="3"/>
        <v>0</v>
      </c>
      <c r="CU70" s="30">
        <f t="shared" si="4"/>
        <v>0</v>
      </c>
      <c r="CV70" s="30"/>
      <c r="CW70" s="15">
        <f t="shared" si="5"/>
        <v>0</v>
      </c>
      <c r="CX70" s="18"/>
    </row>
    <row r="71" spans="1:102" ht="15" thickBot="1" x14ac:dyDescent="0.35">
      <c r="A71" s="60">
        <v>60</v>
      </c>
      <c r="B71" s="57" t="s">
        <v>100</v>
      </c>
      <c r="C71" s="1" t="s">
        <v>104</v>
      </c>
      <c r="D71" s="34" t="s">
        <v>17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>
        <v>1</v>
      </c>
      <c r="CK71" s="33">
        <v>1</v>
      </c>
      <c r="CL71" s="33"/>
      <c r="CM71" s="33">
        <v>1</v>
      </c>
      <c r="CN71" s="33">
        <v>1</v>
      </c>
      <c r="CO71" s="33"/>
      <c r="CP71" s="33">
        <v>1</v>
      </c>
      <c r="CQ71" s="33"/>
      <c r="CR71" s="33"/>
      <c r="CS71" s="33"/>
      <c r="CT71" s="32">
        <f t="shared" si="3"/>
        <v>2</v>
      </c>
      <c r="CU71" s="30">
        <f t="shared" si="4"/>
        <v>0</v>
      </c>
      <c r="CV71" s="30"/>
      <c r="CW71" s="15">
        <f t="shared" si="5"/>
        <v>3</v>
      </c>
      <c r="CX71" s="18" t="e">
        <f>SUM(G71,J71,M71,P71,S71,V71,Y71,AB71,AE71,AH71,AK71,AN71,AQ71,#REF!)</f>
        <v>#REF!</v>
      </c>
    </row>
    <row r="72" spans="1:102" ht="15" thickBot="1" x14ac:dyDescent="0.35">
      <c r="A72" s="51">
        <v>61</v>
      </c>
      <c r="B72" s="57" t="s">
        <v>53</v>
      </c>
      <c r="C72" s="1"/>
      <c r="D72" s="3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>
        <v>1</v>
      </c>
      <c r="BQ72" s="33"/>
      <c r="BR72" s="33">
        <v>1</v>
      </c>
      <c r="BS72" s="33">
        <v>1</v>
      </c>
      <c r="BT72" s="33"/>
      <c r="BU72" s="33">
        <v>1</v>
      </c>
      <c r="BV72" s="33">
        <v>1</v>
      </c>
      <c r="BW72" s="33"/>
      <c r="BX72" s="33">
        <v>1</v>
      </c>
      <c r="BY72" s="33">
        <v>1</v>
      </c>
      <c r="BZ72" s="33"/>
      <c r="CA72" s="33">
        <v>1</v>
      </c>
      <c r="CB72" s="33">
        <v>1</v>
      </c>
      <c r="CC72" s="33"/>
      <c r="CD72" s="33">
        <v>1</v>
      </c>
      <c r="CE72" s="33">
        <v>1</v>
      </c>
      <c r="CF72" s="33"/>
      <c r="CG72" s="33">
        <v>1</v>
      </c>
      <c r="CH72" s="33">
        <v>1</v>
      </c>
      <c r="CI72" s="33"/>
      <c r="CJ72" s="33">
        <v>1</v>
      </c>
      <c r="CK72" s="33"/>
      <c r="CL72" s="33"/>
      <c r="CM72" s="33">
        <v>1</v>
      </c>
      <c r="CN72" s="33">
        <v>1</v>
      </c>
      <c r="CO72" s="33"/>
      <c r="CP72" s="33">
        <v>1</v>
      </c>
      <c r="CQ72" s="33"/>
      <c r="CR72" s="33"/>
      <c r="CS72" s="33"/>
      <c r="CT72" s="32">
        <f t="shared" si="3"/>
        <v>8</v>
      </c>
      <c r="CU72" s="30">
        <f t="shared" si="4"/>
        <v>0</v>
      </c>
      <c r="CV72" s="30"/>
      <c r="CW72" s="15">
        <f t="shared" si="5"/>
        <v>9</v>
      </c>
      <c r="CX72" s="18"/>
    </row>
    <row r="73" spans="1:102" ht="15" thickBot="1" x14ac:dyDescent="0.35">
      <c r="A73" s="60">
        <v>62</v>
      </c>
      <c r="B73" s="57" t="s">
        <v>28</v>
      </c>
      <c r="C73" s="1" t="s">
        <v>42</v>
      </c>
      <c r="D73" s="34" t="s">
        <v>27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2">
        <f t="shared" si="3"/>
        <v>0</v>
      </c>
      <c r="CU73" s="30">
        <f t="shared" si="4"/>
        <v>0</v>
      </c>
      <c r="CV73" s="30"/>
      <c r="CW73" s="15">
        <f t="shared" si="5"/>
        <v>0</v>
      </c>
      <c r="CX73" s="18"/>
    </row>
    <row r="74" spans="1:102" ht="15" thickBot="1" x14ac:dyDescent="0.35">
      <c r="A74" s="51">
        <v>63</v>
      </c>
      <c r="B74" s="57" t="s">
        <v>67</v>
      </c>
      <c r="C74" s="1"/>
      <c r="D74" s="3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>
        <v>1</v>
      </c>
      <c r="BZ74" s="33"/>
      <c r="CA74" s="33">
        <v>1</v>
      </c>
      <c r="CB74" s="33">
        <v>1</v>
      </c>
      <c r="CC74" s="33"/>
      <c r="CD74" s="33">
        <v>1</v>
      </c>
      <c r="CE74" s="33">
        <v>1</v>
      </c>
      <c r="CF74" s="33"/>
      <c r="CG74" s="33">
        <v>1</v>
      </c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2">
        <f t="shared" si="3"/>
        <v>3</v>
      </c>
      <c r="CU74" s="30">
        <f t="shared" si="4"/>
        <v>0</v>
      </c>
      <c r="CV74" s="30"/>
      <c r="CW74" s="15">
        <f t="shared" si="5"/>
        <v>3</v>
      </c>
      <c r="CX74" s="18"/>
    </row>
    <row r="75" spans="1:102" ht="15" thickBot="1" x14ac:dyDescent="0.35">
      <c r="A75" s="60">
        <v>64</v>
      </c>
      <c r="B75" s="57" t="s">
        <v>69</v>
      </c>
      <c r="C75" s="1"/>
      <c r="D75" s="3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2">
        <f t="shared" si="3"/>
        <v>0</v>
      </c>
      <c r="CU75" s="30">
        <f t="shared" si="4"/>
        <v>0</v>
      </c>
      <c r="CV75" s="30"/>
      <c r="CW75" s="15">
        <f t="shared" si="5"/>
        <v>0</v>
      </c>
      <c r="CX75" s="18"/>
    </row>
    <row r="76" spans="1:102" ht="15" thickBot="1" x14ac:dyDescent="0.35">
      <c r="A76" s="51">
        <v>65</v>
      </c>
      <c r="B76" s="57" t="s">
        <v>56</v>
      </c>
      <c r="C76" s="1"/>
      <c r="D76" s="3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>
        <v>1</v>
      </c>
      <c r="BP76" s="33">
        <v>1</v>
      </c>
      <c r="BQ76" s="33"/>
      <c r="BR76" s="33">
        <v>1</v>
      </c>
      <c r="BS76" s="33">
        <v>1</v>
      </c>
      <c r="BT76" s="33"/>
      <c r="BU76" s="33">
        <v>1</v>
      </c>
      <c r="BV76" s="33">
        <v>1</v>
      </c>
      <c r="BW76" s="33"/>
      <c r="BX76" s="33">
        <v>1</v>
      </c>
      <c r="BY76" s="33">
        <v>1</v>
      </c>
      <c r="BZ76" s="33"/>
      <c r="CA76" s="33">
        <v>1</v>
      </c>
      <c r="CB76" s="33">
        <v>1</v>
      </c>
      <c r="CC76" s="33"/>
      <c r="CD76" s="33">
        <v>1</v>
      </c>
      <c r="CE76" s="33">
        <v>1</v>
      </c>
      <c r="CF76" s="33"/>
      <c r="CG76" s="33">
        <v>1</v>
      </c>
      <c r="CH76" s="33"/>
      <c r="CI76" s="33"/>
      <c r="CJ76" s="33"/>
      <c r="CK76" s="33">
        <v>1</v>
      </c>
      <c r="CL76" s="33"/>
      <c r="CM76" s="33">
        <v>1</v>
      </c>
      <c r="CN76" s="33">
        <v>1</v>
      </c>
      <c r="CO76" s="33"/>
      <c r="CP76" s="33">
        <v>1</v>
      </c>
      <c r="CQ76" s="33"/>
      <c r="CR76" s="33"/>
      <c r="CS76" s="33"/>
      <c r="CT76" s="32">
        <f t="shared" ref="CT76:CT91" si="6">SUM(E76,H76,N76,Q76,T76,Z76,AC76,AF76,AI76,AL76,AO76,AX76,BA76,BD76,BG76,BJ76,BM76,BP76,BS76,BV76,BY76,CB76,CE76,CH76,CK76,CN76,CQ76,K76,W76,AR76,AU76)</f>
        <v>8</v>
      </c>
      <c r="CU76" s="30">
        <f t="shared" ref="CU76:CU91" si="7">SUM(F76,I76,L76,O76,R76,U76,X76,AA76,AD76,AG76,AJ76,AM76,AP76,AS76,AV76,AY76,BB76,BE76,BH76,BK76,BN76,BQ76,BT76,BW76,BZ76,CC76,CF76,CI76,CL76,CO76,CR76)</f>
        <v>0</v>
      </c>
      <c r="CV76" s="30"/>
      <c r="CW76" s="15">
        <f t="shared" ref="CW76:CW91" si="8">SUM(G76,J76,M76,P76,S76,V76,Y76,AB76,AE76,AH76,AK76,AN76,AQ76,AT76,AW76,AZ76,BC76,BF76,BI76,BL76,BO76,BR76,BU76,BX76,CA76,CD76,CG76,CJ76,CM76,CP76,CS76)</f>
        <v>9</v>
      </c>
      <c r="CX76" s="18"/>
    </row>
    <row r="77" spans="1:102" ht="15" thickBot="1" x14ac:dyDescent="0.35">
      <c r="A77" s="60">
        <v>66</v>
      </c>
      <c r="B77" s="57" t="s">
        <v>79</v>
      </c>
      <c r="C77" s="1" t="s">
        <v>43</v>
      </c>
      <c r="D77" s="34" t="s">
        <v>17</v>
      </c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2">
        <f t="shared" si="6"/>
        <v>0</v>
      </c>
      <c r="CU77" s="30">
        <f t="shared" si="7"/>
        <v>0</v>
      </c>
      <c r="CV77" s="30"/>
      <c r="CW77" s="15">
        <f t="shared" si="8"/>
        <v>0</v>
      </c>
      <c r="CX77" s="18"/>
    </row>
    <row r="78" spans="1:102" ht="15" thickBot="1" x14ac:dyDescent="0.35">
      <c r="A78" s="51">
        <v>67</v>
      </c>
      <c r="B78" s="57" t="s">
        <v>80</v>
      </c>
      <c r="C78" s="1"/>
      <c r="D78" s="3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2">
        <f t="shared" si="6"/>
        <v>0</v>
      </c>
      <c r="CU78" s="30">
        <f t="shared" si="7"/>
        <v>0</v>
      </c>
      <c r="CV78" s="30"/>
      <c r="CW78" s="15">
        <f t="shared" si="8"/>
        <v>0</v>
      </c>
      <c r="CX78" s="18"/>
    </row>
    <row r="79" spans="1:102" ht="15" thickBot="1" x14ac:dyDescent="0.35">
      <c r="A79" s="60">
        <v>68</v>
      </c>
      <c r="B79" s="57" t="s">
        <v>87</v>
      </c>
      <c r="C79" s="1"/>
      <c r="D79" s="3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2">
        <f t="shared" si="6"/>
        <v>0</v>
      </c>
      <c r="CU79" s="30">
        <f t="shared" si="7"/>
        <v>0</v>
      </c>
      <c r="CV79" s="30"/>
      <c r="CW79" s="15">
        <f t="shared" si="8"/>
        <v>0</v>
      </c>
      <c r="CX79" s="18"/>
    </row>
    <row r="80" spans="1:102" ht="15" thickBot="1" x14ac:dyDescent="0.35">
      <c r="A80" s="51">
        <v>69</v>
      </c>
      <c r="B80" s="57" t="s">
        <v>3</v>
      </c>
      <c r="C80" s="1" t="s">
        <v>42</v>
      </c>
      <c r="D80" s="34" t="s">
        <v>24</v>
      </c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66"/>
      <c r="AH80" s="33"/>
      <c r="AI80" s="33"/>
      <c r="AJ80" s="66"/>
      <c r="AK80" s="33"/>
      <c r="AL80" s="33"/>
      <c r="AM80" s="66"/>
      <c r="AN80" s="33"/>
      <c r="AO80" s="33"/>
      <c r="AP80" s="66"/>
      <c r="AQ80" s="33"/>
      <c r="AR80" s="33"/>
      <c r="AS80" s="66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2">
        <f t="shared" si="6"/>
        <v>0</v>
      </c>
      <c r="CU80" s="30">
        <f t="shared" si="7"/>
        <v>0</v>
      </c>
      <c r="CV80" s="30"/>
      <c r="CW80" s="15">
        <f t="shared" si="8"/>
        <v>0</v>
      </c>
      <c r="CX80" s="18"/>
    </row>
    <row r="81" spans="1:103" ht="15" thickBot="1" x14ac:dyDescent="0.35">
      <c r="A81" s="60">
        <v>70</v>
      </c>
      <c r="B81" s="57" t="s">
        <v>102</v>
      </c>
      <c r="C81" s="1" t="s">
        <v>104</v>
      </c>
      <c r="D81" s="3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2">
        <f t="shared" si="6"/>
        <v>0</v>
      </c>
      <c r="CU81" s="30">
        <f t="shared" si="7"/>
        <v>0</v>
      </c>
      <c r="CV81" s="30"/>
      <c r="CW81" s="15">
        <f t="shared" si="8"/>
        <v>0</v>
      </c>
      <c r="CX81" s="18"/>
    </row>
    <row r="82" spans="1:103" ht="15" thickBot="1" x14ac:dyDescent="0.35">
      <c r="A82" s="51">
        <v>71</v>
      </c>
      <c r="B82" s="57" t="s">
        <v>83</v>
      </c>
      <c r="C82" s="1" t="s">
        <v>43</v>
      </c>
      <c r="D82" s="34" t="s">
        <v>17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2">
        <f t="shared" si="6"/>
        <v>0</v>
      </c>
      <c r="CU82" s="30">
        <f t="shared" si="7"/>
        <v>0</v>
      </c>
      <c r="CV82" s="30"/>
      <c r="CW82" s="15">
        <f t="shared" si="8"/>
        <v>0</v>
      </c>
      <c r="CX82" s="18"/>
    </row>
    <row r="83" spans="1:103" ht="15" thickBot="1" x14ac:dyDescent="0.35">
      <c r="A83" s="60">
        <v>72</v>
      </c>
      <c r="B83" s="57" t="s">
        <v>77</v>
      </c>
      <c r="C83" s="1" t="s">
        <v>42</v>
      </c>
      <c r="D83" s="34" t="s">
        <v>16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>
        <v>1</v>
      </c>
      <c r="BQ83" s="33"/>
      <c r="BR83" s="33">
        <v>1</v>
      </c>
      <c r="BS83" s="33">
        <v>1</v>
      </c>
      <c r="BT83" s="33"/>
      <c r="BU83" s="33">
        <v>1</v>
      </c>
      <c r="BV83" s="33">
        <v>1</v>
      </c>
      <c r="BW83" s="33"/>
      <c r="BX83" s="33">
        <v>1</v>
      </c>
      <c r="BY83" s="33">
        <v>1</v>
      </c>
      <c r="BZ83" s="33"/>
      <c r="CA83" s="33">
        <v>1</v>
      </c>
      <c r="CB83" s="33">
        <v>1</v>
      </c>
      <c r="CC83" s="33"/>
      <c r="CD83" s="33">
        <v>1</v>
      </c>
      <c r="CE83" s="33">
        <v>1</v>
      </c>
      <c r="CF83" s="33"/>
      <c r="CG83" s="33"/>
      <c r="CH83" s="33"/>
      <c r="CI83" s="33"/>
      <c r="CJ83" s="33">
        <v>1</v>
      </c>
      <c r="CK83" s="33">
        <v>1</v>
      </c>
      <c r="CL83" s="33"/>
      <c r="CM83" s="33">
        <v>1</v>
      </c>
      <c r="CN83" s="33">
        <v>1</v>
      </c>
      <c r="CO83" s="33"/>
      <c r="CP83" s="33">
        <v>1</v>
      </c>
      <c r="CQ83" s="33"/>
      <c r="CR83" s="33"/>
      <c r="CS83" s="33"/>
      <c r="CT83" s="32">
        <f t="shared" si="6"/>
        <v>8</v>
      </c>
      <c r="CU83" s="30">
        <f t="shared" si="7"/>
        <v>0</v>
      </c>
      <c r="CV83" s="30"/>
      <c r="CW83" s="15">
        <f t="shared" si="8"/>
        <v>8</v>
      </c>
      <c r="CX83" s="18"/>
    </row>
    <row r="84" spans="1:103" ht="15" thickBot="1" x14ac:dyDescent="0.35">
      <c r="A84" s="51">
        <v>73</v>
      </c>
      <c r="B84" s="57" t="s">
        <v>59</v>
      </c>
      <c r="C84" s="1"/>
      <c r="D84" s="3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2">
        <f t="shared" si="6"/>
        <v>0</v>
      </c>
      <c r="CU84" s="30">
        <f t="shared" si="7"/>
        <v>0</v>
      </c>
      <c r="CV84" s="30"/>
      <c r="CW84" s="15">
        <f t="shared" si="8"/>
        <v>0</v>
      </c>
      <c r="CX84" s="18"/>
    </row>
    <row r="85" spans="1:103" ht="15" thickBot="1" x14ac:dyDescent="0.35">
      <c r="A85" s="60">
        <v>74</v>
      </c>
      <c r="B85" s="57" t="s">
        <v>63</v>
      </c>
      <c r="C85" s="1"/>
      <c r="D85" s="3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2">
        <f t="shared" si="6"/>
        <v>0</v>
      </c>
      <c r="CU85" s="30">
        <f t="shared" si="7"/>
        <v>0</v>
      </c>
      <c r="CV85" s="30"/>
      <c r="CW85" s="15">
        <f t="shared" si="8"/>
        <v>0</v>
      </c>
      <c r="CX85" s="18"/>
    </row>
    <row r="86" spans="1:103" ht="15" thickBot="1" x14ac:dyDescent="0.35">
      <c r="A86" s="51">
        <v>75</v>
      </c>
      <c r="B86" s="57" t="s">
        <v>124</v>
      </c>
      <c r="C86" s="1"/>
      <c r="D86" s="3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>
        <v>1</v>
      </c>
      <c r="BQ86" s="33"/>
      <c r="BR86" s="33"/>
      <c r="BS86" s="33">
        <v>1</v>
      </c>
      <c r="BT86" s="33"/>
      <c r="BU86" s="33"/>
      <c r="BV86" s="33">
        <v>1</v>
      </c>
      <c r="BW86" s="33"/>
      <c r="BX86" s="33"/>
      <c r="BY86" s="33">
        <v>1</v>
      </c>
      <c r="BZ86" s="33"/>
      <c r="CA86" s="33"/>
      <c r="CB86" s="33">
        <v>1</v>
      </c>
      <c r="CC86" s="33"/>
      <c r="CD86" s="33"/>
      <c r="CE86" s="33">
        <v>1</v>
      </c>
      <c r="CF86" s="33"/>
      <c r="CG86" s="33"/>
      <c r="CH86" s="33"/>
      <c r="CI86" s="33"/>
      <c r="CJ86" s="33"/>
      <c r="CK86" s="33">
        <v>1</v>
      </c>
      <c r="CL86" s="33"/>
      <c r="CM86" s="33"/>
      <c r="CN86" s="33">
        <v>1</v>
      </c>
      <c r="CO86" s="33"/>
      <c r="CP86" s="33"/>
      <c r="CQ86" s="33"/>
      <c r="CR86" s="33"/>
      <c r="CS86" s="33"/>
      <c r="CT86" s="32">
        <f t="shared" si="6"/>
        <v>8</v>
      </c>
      <c r="CU86" s="30">
        <f t="shared" si="7"/>
        <v>0</v>
      </c>
      <c r="CV86" s="30"/>
      <c r="CW86" s="15">
        <f t="shared" si="8"/>
        <v>0</v>
      </c>
      <c r="CX86" s="18"/>
    </row>
    <row r="87" spans="1:103" ht="15" thickBot="1" x14ac:dyDescent="0.35">
      <c r="A87" s="60">
        <v>76</v>
      </c>
      <c r="B87" s="57" t="s">
        <v>61</v>
      </c>
      <c r="C87" s="1"/>
      <c r="D87" s="3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2">
        <f t="shared" si="6"/>
        <v>0</v>
      </c>
      <c r="CU87" s="30">
        <f t="shared" si="7"/>
        <v>0</v>
      </c>
      <c r="CV87" s="30"/>
      <c r="CW87" s="15">
        <f t="shared" si="8"/>
        <v>0</v>
      </c>
      <c r="CX87" s="18"/>
    </row>
    <row r="88" spans="1:103" ht="15" thickBot="1" x14ac:dyDescent="0.35">
      <c r="A88" s="51">
        <v>77</v>
      </c>
      <c r="B88" s="57" t="s">
        <v>15</v>
      </c>
      <c r="C88" s="1" t="s">
        <v>42</v>
      </c>
      <c r="D88" s="34" t="s">
        <v>26</v>
      </c>
      <c r="E88" s="33"/>
      <c r="F88" s="33"/>
      <c r="G88" s="33">
        <v>1</v>
      </c>
      <c r="H88" s="33"/>
      <c r="I88" s="33"/>
      <c r="J88" s="33">
        <v>1</v>
      </c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>
        <v>1</v>
      </c>
      <c r="BP88" s="33">
        <v>1</v>
      </c>
      <c r="BQ88" s="33"/>
      <c r="BR88" s="33">
        <v>1</v>
      </c>
      <c r="BS88" s="33">
        <v>1</v>
      </c>
      <c r="BT88" s="33"/>
      <c r="BU88" s="33">
        <v>1</v>
      </c>
      <c r="BV88" s="33">
        <v>1</v>
      </c>
      <c r="BW88" s="33"/>
      <c r="BX88" s="33">
        <v>1</v>
      </c>
      <c r="BY88" s="33">
        <v>1</v>
      </c>
      <c r="BZ88" s="33"/>
      <c r="CA88" s="33">
        <v>1</v>
      </c>
      <c r="CB88" s="33">
        <v>1</v>
      </c>
      <c r="CC88" s="33"/>
      <c r="CD88" s="33">
        <v>1</v>
      </c>
      <c r="CE88" s="33">
        <v>1</v>
      </c>
      <c r="CF88" s="33"/>
      <c r="CG88" s="33">
        <v>1</v>
      </c>
      <c r="CH88" s="33"/>
      <c r="CI88" s="33"/>
      <c r="CJ88" s="33">
        <v>1</v>
      </c>
      <c r="CK88" s="33">
        <v>1</v>
      </c>
      <c r="CL88" s="33"/>
      <c r="CM88" s="33"/>
      <c r="CN88" s="33">
        <v>1</v>
      </c>
      <c r="CO88" s="33"/>
      <c r="CP88" s="33">
        <v>1</v>
      </c>
      <c r="CQ88" s="33"/>
      <c r="CR88" s="33"/>
      <c r="CS88" s="33"/>
      <c r="CT88" s="32">
        <f t="shared" si="6"/>
        <v>8</v>
      </c>
      <c r="CU88" s="30">
        <f t="shared" si="7"/>
        <v>0</v>
      </c>
      <c r="CV88" s="30"/>
      <c r="CW88" s="15">
        <f t="shared" si="8"/>
        <v>11</v>
      </c>
      <c r="CX88" s="18"/>
    </row>
    <row r="89" spans="1:103" ht="15" thickBot="1" x14ac:dyDescent="0.35">
      <c r="A89" s="60">
        <v>78</v>
      </c>
      <c r="B89" s="57" t="s">
        <v>58</v>
      </c>
      <c r="C89" s="1"/>
      <c r="D89" s="34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32">
        <f t="shared" si="6"/>
        <v>0</v>
      </c>
      <c r="CU89" s="30">
        <f t="shared" si="7"/>
        <v>0</v>
      </c>
      <c r="CV89" s="30"/>
      <c r="CW89" s="15">
        <f t="shared" si="8"/>
        <v>0</v>
      </c>
      <c r="CX89" s="18"/>
    </row>
    <row r="90" spans="1:103" ht="15" thickBot="1" x14ac:dyDescent="0.35">
      <c r="A90" s="51"/>
      <c r="B90" s="69" t="s">
        <v>47</v>
      </c>
      <c r="C90" s="69"/>
      <c r="D90" s="70"/>
      <c r="E90" s="38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71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2">
        <f t="shared" si="6"/>
        <v>0</v>
      </c>
      <c r="CU90" s="30">
        <f t="shared" si="7"/>
        <v>0</v>
      </c>
      <c r="CV90" s="30">
        <f>AA90</f>
        <v>0</v>
      </c>
      <c r="CW90" s="15">
        <f t="shared" si="8"/>
        <v>0</v>
      </c>
      <c r="CX90" s="18"/>
    </row>
    <row r="91" spans="1:103" ht="15" thickBot="1" x14ac:dyDescent="0.35">
      <c r="A91" s="51"/>
      <c r="B91" s="62" t="s">
        <v>108</v>
      </c>
      <c r="C91" s="63"/>
      <c r="D91" s="64"/>
      <c r="E91" s="38"/>
      <c r="F91" s="61"/>
      <c r="G91" s="39"/>
      <c r="H91" s="39"/>
      <c r="I91" s="61"/>
      <c r="J91" s="39"/>
      <c r="K91" s="39"/>
      <c r="L91" s="61"/>
      <c r="M91" s="39"/>
      <c r="N91" s="39"/>
      <c r="O91" s="61"/>
      <c r="P91" s="39"/>
      <c r="Q91" s="39"/>
      <c r="R91" s="61"/>
      <c r="S91" s="39"/>
      <c r="T91" s="39"/>
      <c r="U91" s="61"/>
      <c r="V91" s="39"/>
      <c r="W91" s="39"/>
      <c r="X91" s="61"/>
      <c r="Y91" s="39"/>
      <c r="Z91" s="39"/>
      <c r="AA91" s="61"/>
      <c r="AB91" s="39"/>
      <c r="AC91" s="39"/>
      <c r="AD91" s="61"/>
      <c r="AE91" s="39"/>
      <c r="AF91" s="39"/>
      <c r="AG91" s="61"/>
      <c r="AH91" s="39"/>
      <c r="AI91" s="39"/>
      <c r="AJ91" s="61"/>
      <c r="AK91" s="39"/>
      <c r="AL91" s="39"/>
      <c r="AM91" s="61"/>
      <c r="AN91" s="39"/>
      <c r="AO91" s="39"/>
      <c r="AP91" s="61"/>
      <c r="AQ91" s="39"/>
      <c r="AR91" s="39"/>
      <c r="AS91" s="61"/>
      <c r="AT91" s="39"/>
      <c r="AU91" s="39"/>
      <c r="AV91" s="61"/>
      <c r="AW91" s="39"/>
      <c r="AX91" s="39"/>
      <c r="AY91" s="61"/>
      <c r="AZ91" s="39"/>
      <c r="BA91" s="39"/>
      <c r="BB91" s="61"/>
      <c r="BC91" s="39"/>
      <c r="BD91" s="39"/>
      <c r="BE91" s="61"/>
      <c r="BF91" s="39"/>
      <c r="BG91" s="39"/>
      <c r="BH91" s="61"/>
      <c r="BI91" s="39"/>
      <c r="BJ91" s="39"/>
      <c r="BK91" s="61"/>
      <c r="BL91" s="39"/>
      <c r="BM91" s="39"/>
      <c r="BN91" s="61">
        <v>9</v>
      </c>
      <c r="BO91" s="39"/>
      <c r="BP91" s="39"/>
      <c r="BQ91" s="61">
        <v>26</v>
      </c>
      <c r="BR91" s="39"/>
      <c r="BS91" s="39"/>
      <c r="BT91" s="61">
        <v>24</v>
      </c>
      <c r="BU91" s="39"/>
      <c r="BV91" s="39"/>
      <c r="BW91" s="61">
        <v>24</v>
      </c>
      <c r="BX91" s="39"/>
      <c r="BY91" s="39"/>
      <c r="BZ91" s="61">
        <v>24</v>
      </c>
      <c r="CA91" s="39"/>
      <c r="CB91" s="39"/>
      <c r="CC91" s="61">
        <v>33</v>
      </c>
      <c r="CD91" s="39"/>
      <c r="CE91" s="39"/>
      <c r="CF91" s="61">
        <v>26</v>
      </c>
      <c r="CG91" s="39"/>
      <c r="CH91" s="39"/>
      <c r="CI91" s="61">
        <v>25</v>
      </c>
      <c r="CJ91" s="39"/>
      <c r="CK91" s="39"/>
      <c r="CL91" s="61">
        <v>22</v>
      </c>
      <c r="CM91" s="39"/>
      <c r="CN91" s="39"/>
      <c r="CO91" s="61">
        <v>27</v>
      </c>
      <c r="CP91" s="39"/>
      <c r="CQ91" s="39"/>
      <c r="CR91" s="61"/>
      <c r="CS91" s="39"/>
      <c r="CT91" s="32">
        <f t="shared" si="6"/>
        <v>0</v>
      </c>
      <c r="CU91" s="30">
        <f t="shared" si="7"/>
        <v>240</v>
      </c>
      <c r="CV91" s="30"/>
      <c r="CW91" s="15">
        <f t="shared" si="8"/>
        <v>0</v>
      </c>
      <c r="CX91" s="18"/>
    </row>
    <row r="92" spans="1:103" ht="26.4" customHeight="1" thickBot="1" x14ac:dyDescent="0.35">
      <c r="A92" s="59"/>
      <c r="B92" s="40" t="s">
        <v>109</v>
      </c>
      <c r="C92" s="41"/>
      <c r="D92" s="20"/>
      <c r="E92" s="42">
        <f t="shared" ref="E92:AJ92" si="9">SUM(E12:E91)</f>
        <v>0</v>
      </c>
      <c r="F92" s="43">
        <f t="shared" si="9"/>
        <v>0</v>
      </c>
      <c r="G92" s="43">
        <f t="shared" si="9"/>
        <v>2</v>
      </c>
      <c r="H92" s="43">
        <f t="shared" si="9"/>
        <v>0</v>
      </c>
      <c r="I92" s="43">
        <f t="shared" si="9"/>
        <v>0</v>
      </c>
      <c r="J92" s="43">
        <f t="shared" si="9"/>
        <v>2</v>
      </c>
      <c r="K92" s="43">
        <f t="shared" si="9"/>
        <v>0</v>
      </c>
      <c r="L92" s="43">
        <f t="shared" si="9"/>
        <v>0</v>
      </c>
      <c r="M92" s="43">
        <f t="shared" si="9"/>
        <v>1</v>
      </c>
      <c r="N92" s="43">
        <f t="shared" si="9"/>
        <v>0</v>
      </c>
      <c r="O92" s="43">
        <f t="shared" si="9"/>
        <v>0</v>
      </c>
      <c r="P92" s="43">
        <f t="shared" si="9"/>
        <v>1</v>
      </c>
      <c r="Q92" s="43">
        <f t="shared" si="9"/>
        <v>0</v>
      </c>
      <c r="R92" s="43">
        <f t="shared" si="9"/>
        <v>0</v>
      </c>
      <c r="S92" s="43">
        <f t="shared" si="9"/>
        <v>1</v>
      </c>
      <c r="T92" s="43">
        <f t="shared" si="9"/>
        <v>1</v>
      </c>
      <c r="U92" s="43">
        <f t="shared" si="9"/>
        <v>1</v>
      </c>
      <c r="V92" s="43">
        <f t="shared" si="9"/>
        <v>1</v>
      </c>
      <c r="W92" s="43">
        <f t="shared" si="9"/>
        <v>0</v>
      </c>
      <c r="X92" s="43">
        <f t="shared" si="9"/>
        <v>0</v>
      </c>
      <c r="Y92" s="43">
        <f t="shared" si="9"/>
        <v>1</v>
      </c>
      <c r="Z92" s="43">
        <f t="shared" si="9"/>
        <v>0</v>
      </c>
      <c r="AA92" s="43">
        <f t="shared" si="9"/>
        <v>0</v>
      </c>
      <c r="AB92" s="43">
        <f t="shared" si="9"/>
        <v>1</v>
      </c>
      <c r="AC92" s="43">
        <f t="shared" si="9"/>
        <v>0</v>
      </c>
      <c r="AD92" s="43">
        <f t="shared" si="9"/>
        <v>0</v>
      </c>
      <c r="AE92" s="43">
        <f t="shared" si="9"/>
        <v>1</v>
      </c>
      <c r="AF92" s="43">
        <f t="shared" si="9"/>
        <v>0</v>
      </c>
      <c r="AG92" s="43">
        <f t="shared" si="9"/>
        <v>0</v>
      </c>
      <c r="AH92" s="43">
        <f t="shared" si="9"/>
        <v>1</v>
      </c>
      <c r="AI92" s="43">
        <f t="shared" si="9"/>
        <v>0</v>
      </c>
      <c r="AJ92" s="43">
        <f t="shared" si="9"/>
        <v>0</v>
      </c>
      <c r="AK92" s="43">
        <f t="shared" ref="AK92:BP92" si="10">SUM(AK12:AK91)</f>
        <v>1</v>
      </c>
      <c r="AL92" s="43">
        <f t="shared" si="10"/>
        <v>0</v>
      </c>
      <c r="AM92" s="43">
        <f t="shared" si="10"/>
        <v>0</v>
      </c>
      <c r="AN92" s="43">
        <f t="shared" si="10"/>
        <v>0</v>
      </c>
      <c r="AO92" s="43">
        <f t="shared" si="10"/>
        <v>0</v>
      </c>
      <c r="AP92" s="43">
        <f t="shared" si="10"/>
        <v>0</v>
      </c>
      <c r="AQ92" s="43">
        <f t="shared" si="10"/>
        <v>0</v>
      </c>
      <c r="AR92" s="43">
        <f t="shared" si="10"/>
        <v>0</v>
      </c>
      <c r="AS92" s="43">
        <f t="shared" si="10"/>
        <v>0</v>
      </c>
      <c r="AT92" s="43">
        <f t="shared" si="10"/>
        <v>2</v>
      </c>
      <c r="AU92" s="43">
        <f t="shared" si="10"/>
        <v>0</v>
      </c>
      <c r="AV92" s="43">
        <f t="shared" si="10"/>
        <v>0</v>
      </c>
      <c r="AW92" s="43">
        <f t="shared" si="10"/>
        <v>2</v>
      </c>
      <c r="AX92" s="43">
        <f t="shared" si="10"/>
        <v>0</v>
      </c>
      <c r="AY92" s="43">
        <f t="shared" si="10"/>
        <v>0</v>
      </c>
      <c r="AZ92" s="43">
        <f t="shared" si="10"/>
        <v>2</v>
      </c>
      <c r="BA92" s="43">
        <f t="shared" si="10"/>
        <v>0</v>
      </c>
      <c r="BB92" s="43">
        <f t="shared" si="10"/>
        <v>0</v>
      </c>
      <c r="BC92" s="43">
        <f t="shared" si="10"/>
        <v>0</v>
      </c>
      <c r="BD92" s="43">
        <f t="shared" si="10"/>
        <v>0</v>
      </c>
      <c r="BE92" s="43">
        <f t="shared" si="10"/>
        <v>0</v>
      </c>
      <c r="BF92" s="43">
        <f t="shared" si="10"/>
        <v>0</v>
      </c>
      <c r="BG92" s="43">
        <f t="shared" si="10"/>
        <v>0</v>
      </c>
      <c r="BH92" s="43">
        <f t="shared" si="10"/>
        <v>0</v>
      </c>
      <c r="BI92" s="43">
        <f t="shared" si="10"/>
        <v>0</v>
      </c>
      <c r="BJ92" s="43">
        <f t="shared" si="10"/>
        <v>0</v>
      </c>
      <c r="BK92" s="43">
        <f t="shared" si="10"/>
        <v>0</v>
      </c>
      <c r="BL92" s="43">
        <f t="shared" si="10"/>
        <v>0</v>
      </c>
      <c r="BM92" s="43">
        <f t="shared" si="10"/>
        <v>1</v>
      </c>
      <c r="BN92" s="43">
        <f t="shared" si="10"/>
        <v>9</v>
      </c>
      <c r="BO92" s="43">
        <f t="shared" si="10"/>
        <v>12</v>
      </c>
      <c r="BP92" s="43">
        <f t="shared" si="10"/>
        <v>22</v>
      </c>
      <c r="BQ92" s="43">
        <f t="shared" ref="BQ92:CV92" si="11">SUM(BQ12:BQ91)</f>
        <v>26</v>
      </c>
      <c r="BR92" s="43">
        <f t="shared" si="11"/>
        <v>18</v>
      </c>
      <c r="BS92" s="43">
        <f t="shared" si="11"/>
        <v>24</v>
      </c>
      <c r="BT92" s="43">
        <f t="shared" si="11"/>
        <v>24</v>
      </c>
      <c r="BU92" s="43">
        <f t="shared" si="11"/>
        <v>18</v>
      </c>
      <c r="BV92" s="43">
        <f t="shared" si="11"/>
        <v>24</v>
      </c>
      <c r="BW92" s="43">
        <f t="shared" si="11"/>
        <v>25</v>
      </c>
      <c r="BX92" s="43">
        <f t="shared" si="11"/>
        <v>18</v>
      </c>
      <c r="BY92" s="43">
        <f t="shared" si="11"/>
        <v>27</v>
      </c>
      <c r="BZ92" s="43">
        <f t="shared" si="11"/>
        <v>26</v>
      </c>
      <c r="CA92" s="43">
        <f t="shared" si="11"/>
        <v>22</v>
      </c>
      <c r="CB92" s="43">
        <f t="shared" si="11"/>
        <v>28</v>
      </c>
      <c r="CC92" s="43">
        <f t="shared" si="11"/>
        <v>33</v>
      </c>
      <c r="CD92" s="43">
        <f t="shared" si="11"/>
        <v>22</v>
      </c>
      <c r="CE92" s="43">
        <f t="shared" si="11"/>
        <v>26</v>
      </c>
      <c r="CF92" s="43">
        <f t="shared" si="11"/>
        <v>26</v>
      </c>
      <c r="CG92" s="43">
        <f t="shared" si="11"/>
        <v>20</v>
      </c>
      <c r="CH92" s="43">
        <f t="shared" si="11"/>
        <v>5</v>
      </c>
      <c r="CI92" s="43">
        <f t="shared" si="11"/>
        <v>25</v>
      </c>
      <c r="CJ92" s="43">
        <f t="shared" si="11"/>
        <v>21</v>
      </c>
      <c r="CK92" s="43">
        <f t="shared" si="11"/>
        <v>21</v>
      </c>
      <c r="CL92" s="43">
        <f t="shared" si="11"/>
        <v>22</v>
      </c>
      <c r="CM92" s="43">
        <f t="shared" si="11"/>
        <v>16</v>
      </c>
      <c r="CN92" s="43">
        <f t="shared" si="11"/>
        <v>26</v>
      </c>
      <c r="CO92" s="43">
        <f t="shared" si="11"/>
        <v>27</v>
      </c>
      <c r="CP92" s="43">
        <f t="shared" si="11"/>
        <v>18</v>
      </c>
      <c r="CQ92" s="43">
        <f t="shared" si="11"/>
        <v>0</v>
      </c>
      <c r="CR92" s="43">
        <f t="shared" si="11"/>
        <v>0</v>
      </c>
      <c r="CS92" s="43">
        <f t="shared" si="11"/>
        <v>0</v>
      </c>
      <c r="CT92" s="44">
        <f t="shared" si="11"/>
        <v>205</v>
      </c>
      <c r="CU92" s="45">
        <f t="shared" si="11"/>
        <v>244</v>
      </c>
      <c r="CV92" s="45">
        <f t="shared" si="11"/>
        <v>0</v>
      </c>
      <c r="CW92" s="46">
        <f t="shared" ref="CW92:EB92" si="12">SUM(CW12:CW91)</f>
        <v>204</v>
      </c>
      <c r="CX92" s="7" t="e">
        <f>SUM(CX13:CX36)</f>
        <v>#REF!</v>
      </c>
    </row>
    <row r="93" spans="1:103" x14ac:dyDescent="0.3">
      <c r="CT93" s="48">
        <v>8</v>
      </c>
      <c r="CU93" s="48">
        <v>10</v>
      </c>
      <c r="CV93" s="48">
        <v>15</v>
      </c>
      <c r="CW93" s="48">
        <v>8</v>
      </c>
    </row>
    <row r="94" spans="1:103" ht="25.8" x14ac:dyDescent="0.5">
      <c r="CT94" s="32">
        <f>CT92*CT93</f>
        <v>1640</v>
      </c>
      <c r="CU94" s="32">
        <f>CU92*CU93</f>
        <v>2440</v>
      </c>
      <c r="CV94" s="32">
        <f>CV92*CV93</f>
        <v>0</v>
      </c>
      <c r="CW94" s="32">
        <f>CW92*CW93</f>
        <v>1632</v>
      </c>
      <c r="CX94" s="15"/>
      <c r="CY94" s="73">
        <f>SUM(CT94:CW94)</f>
        <v>5712</v>
      </c>
    </row>
    <row r="97" spans="2:23" ht="25.95" customHeight="1" x14ac:dyDescent="0.3">
      <c r="B97" s="98" t="s">
        <v>19</v>
      </c>
      <c r="C97" s="98"/>
      <c r="D97" s="98"/>
    </row>
    <row r="98" spans="2:23" x14ac:dyDescent="0.3">
      <c r="B98" s="15" t="s">
        <v>20</v>
      </c>
      <c r="C98" s="67">
        <v>8</v>
      </c>
      <c r="D98" s="68">
        <f>SUM(E92+H92+K92+N92+Q92+T92+W92+Z92+AC92+AF92+AI92+AL92+AO92+AR92+AU92+AX92+BA92+BD92+BG92+BJ92+BM92+BP92+BS92+BV92+BY92+CB92+CE92+CH92+CK92+CN92+CE98+CQ92)</f>
        <v>205</v>
      </c>
      <c r="E98" s="82">
        <f>D98*C98</f>
        <v>1640</v>
      </c>
      <c r="F98" s="82"/>
      <c r="M98" s="9">
        <v>0</v>
      </c>
      <c r="N98" s="17"/>
      <c r="O98" s="17"/>
      <c r="P98" s="151" t="s">
        <v>38</v>
      </c>
      <c r="Q98" s="152"/>
      <c r="R98" s="152"/>
      <c r="S98" s="152"/>
      <c r="T98" s="152"/>
      <c r="U98" s="152"/>
      <c r="V98" s="152"/>
      <c r="W98" s="153"/>
    </row>
    <row r="99" spans="2:23" x14ac:dyDescent="0.3">
      <c r="B99" s="15" t="s">
        <v>21</v>
      </c>
      <c r="C99" s="67">
        <v>10</v>
      </c>
      <c r="D99" s="68">
        <f>SUM(F92+I92+L92+O92+R92+U92+X92+AA92+AD92+AG92+AJ92+AM92+AP92+AS92+AV92+AY92+BB92+BE92+BH92+BK92+BN92+BQ92+BT92+BW92+BZ92+CC92+CF92+CI92+CL92+CO92+CR92)</f>
        <v>244</v>
      </c>
      <c r="E99" s="82">
        <f t="shared" ref="E99:E101" si="13">D99*C99</f>
        <v>2440</v>
      </c>
      <c r="F99" s="82"/>
      <c r="M99" s="10">
        <v>1</v>
      </c>
      <c r="N99" s="16"/>
      <c r="O99" s="16"/>
      <c r="P99" s="83" t="s">
        <v>39</v>
      </c>
      <c r="Q99" s="84"/>
      <c r="R99" s="84"/>
      <c r="S99" s="84"/>
      <c r="T99" s="84"/>
      <c r="U99" s="84"/>
      <c r="V99" s="84"/>
      <c r="W99" s="85"/>
    </row>
    <row r="100" spans="2:23" x14ac:dyDescent="0.3">
      <c r="B100" s="15" t="s">
        <v>22</v>
      </c>
      <c r="C100" s="67">
        <v>8</v>
      </c>
      <c r="D100" s="68">
        <f>SUM(G92+J92+M92+P92+S92+V92+Y92+AB92+AE92+AH92+AK92+AN92+AQ92+AT92+AW92+AZ92+BC92+BF92+BI92+BL92+BO92+BR92+BU92+BX92+CA92+CD92+CG92+CJ92+CM92+CP92+CS92)</f>
        <v>204</v>
      </c>
      <c r="E100" s="82">
        <f t="shared" si="13"/>
        <v>1632</v>
      </c>
      <c r="F100" s="82"/>
      <c r="M100" s="29"/>
      <c r="N100" s="29"/>
      <c r="O100" s="29"/>
      <c r="P100" s="86" t="s">
        <v>47</v>
      </c>
      <c r="Q100" s="86"/>
      <c r="R100" s="86"/>
      <c r="S100" s="86"/>
      <c r="T100" s="86"/>
      <c r="U100" s="86"/>
      <c r="V100" s="86"/>
      <c r="W100" s="86"/>
    </row>
    <row r="101" spans="2:23" x14ac:dyDescent="0.3">
      <c r="B101" s="15" t="s">
        <v>48</v>
      </c>
      <c r="C101" s="67">
        <v>15</v>
      </c>
      <c r="D101" s="72">
        <f>SUM(CV12:CV91)</f>
        <v>0</v>
      </c>
      <c r="E101" s="82">
        <f t="shared" si="13"/>
        <v>0</v>
      </c>
      <c r="F101" s="82"/>
    </row>
    <row r="102" spans="2:23" x14ac:dyDescent="0.3">
      <c r="B102" s="81" t="s">
        <v>110</v>
      </c>
      <c r="C102" s="81"/>
      <c r="D102" s="81"/>
      <c r="E102" s="82">
        <f>SUM(E98:F101)</f>
        <v>5712</v>
      </c>
      <c r="F102" s="82"/>
    </row>
  </sheetData>
  <autoFilter ref="A11:CY94" xr:uid="{00000000-0009-0000-0000-000000000000}">
    <sortState xmlns:xlrd2="http://schemas.microsoft.com/office/spreadsheetml/2017/richdata2" ref="A15:CY94">
      <sortCondition ref="B11:B94"/>
    </sortState>
  </autoFilter>
  <sortState xmlns:xlrd2="http://schemas.microsoft.com/office/spreadsheetml/2017/richdata2" ref="A11:CY95">
    <sortCondition ref="B13:B109"/>
  </sortState>
  <mergeCells count="89">
    <mergeCell ref="CQ10:CS10"/>
    <mergeCell ref="CN10:CP10"/>
    <mergeCell ref="CK10:CM10"/>
    <mergeCell ref="CQ9:CS9"/>
    <mergeCell ref="E8:CS8"/>
    <mergeCell ref="BA9:BC9"/>
    <mergeCell ref="BD9:BF9"/>
    <mergeCell ref="BD10:BF10"/>
    <mergeCell ref="BG9:BI9"/>
    <mergeCell ref="BG10:BI10"/>
    <mergeCell ref="AO9:AQ9"/>
    <mergeCell ref="N9:P9"/>
    <mergeCell ref="Q9:S9"/>
    <mergeCell ref="N10:P10"/>
    <mergeCell ref="Q10:S10"/>
    <mergeCell ref="T9:V9"/>
    <mergeCell ref="B8:B11"/>
    <mergeCell ref="P98:W98"/>
    <mergeCell ref="CH9:CJ9"/>
    <mergeCell ref="CK9:CM9"/>
    <mergeCell ref="CN9:CP9"/>
    <mergeCell ref="BY9:CA9"/>
    <mergeCell ref="BY10:CA10"/>
    <mergeCell ref="CB9:CD9"/>
    <mergeCell ref="CB10:CD10"/>
    <mergeCell ref="BJ9:BL9"/>
    <mergeCell ref="BM9:BO9"/>
    <mergeCell ref="CE9:CG9"/>
    <mergeCell ref="BP9:BR9"/>
    <mergeCell ref="BS9:BU9"/>
    <mergeCell ref="BV9:BX9"/>
    <mergeCell ref="AX9:AZ9"/>
    <mergeCell ref="A5:B5"/>
    <mergeCell ref="D5:CX5"/>
    <mergeCell ref="A4:B4"/>
    <mergeCell ref="D4:CX4"/>
    <mergeCell ref="A1:CX1"/>
    <mergeCell ref="A2:CX2"/>
    <mergeCell ref="A3:CX3"/>
    <mergeCell ref="A6:B6"/>
    <mergeCell ref="D6:CX6"/>
    <mergeCell ref="A7:B7"/>
    <mergeCell ref="D7:CX7"/>
    <mergeCell ref="A8:A11"/>
    <mergeCell ref="D8:D11"/>
    <mergeCell ref="CT8:CX10"/>
    <mergeCell ref="E9:G9"/>
    <mergeCell ref="K9:M9"/>
    <mergeCell ref="W9:Y9"/>
    <mergeCell ref="H9:J9"/>
    <mergeCell ref="AC9:AE9"/>
    <mergeCell ref="AL9:AN9"/>
    <mergeCell ref="AL10:AN10"/>
    <mergeCell ref="AR9:AT9"/>
    <mergeCell ref="AU9:AW9"/>
    <mergeCell ref="AF9:AH9"/>
    <mergeCell ref="AI9:AK9"/>
    <mergeCell ref="AI10:AK10"/>
    <mergeCell ref="Z9:AB9"/>
    <mergeCell ref="C8:C11"/>
    <mergeCell ref="K10:M10"/>
    <mergeCell ref="H10:J10"/>
    <mergeCell ref="E10:G10"/>
    <mergeCell ref="T10:V10"/>
    <mergeCell ref="W10:Y10"/>
    <mergeCell ref="Z10:AB10"/>
    <mergeCell ref="AC10:AE10"/>
    <mergeCell ref="AF10:AH10"/>
    <mergeCell ref="E98:F98"/>
    <mergeCell ref="B97:D97"/>
    <mergeCell ref="E99:F99"/>
    <mergeCell ref="E100:F100"/>
    <mergeCell ref="E101:F101"/>
    <mergeCell ref="B102:D102"/>
    <mergeCell ref="E102:F102"/>
    <mergeCell ref="P99:W99"/>
    <mergeCell ref="P100:W100"/>
    <mergeCell ref="CH10:CJ10"/>
    <mergeCell ref="AU10:AW10"/>
    <mergeCell ref="AX10:AZ10"/>
    <mergeCell ref="BA10:BC10"/>
    <mergeCell ref="BJ10:BL10"/>
    <mergeCell ref="BM10:BO10"/>
    <mergeCell ref="BP10:BR10"/>
    <mergeCell ref="BS10:BU10"/>
    <mergeCell ref="BV10:BX10"/>
    <mergeCell ref="CE10:CG10"/>
    <mergeCell ref="AO10:AQ10"/>
    <mergeCell ref="AR10:AT10"/>
  </mergeCells>
  <phoneticPr fontId="7" type="noConversion"/>
  <conditionalFormatting sqref="E12:CS14 E15 G15:CS15 E16:CS62 E63:AF63 AH63:AI63 AK63:AL63 AN63:AO63 AQ63:AR63 AT63:CS63 E64:CS88 F89:CS89 E90:CS91">
    <cfRule type="containsText" dxfId="3" priority="13" operator="containsText" text="0">
      <formula>NOT(ISERROR(SEARCH("0",E12)))</formula>
    </cfRule>
    <cfRule type="containsText" dxfId="2" priority="14" operator="containsText" text="C">
      <formula>NOT(ISERROR(SEARCH("C",E12)))</formula>
    </cfRule>
    <cfRule type="containsText" dxfId="1" priority="15" operator="containsText" text="C">
      <formula>NOT(ISERROR(SEARCH("C",E12)))</formula>
    </cfRule>
    <cfRule type="containsText" dxfId="0" priority="16" operator="containsText" text="1">
      <formula>NOT(ISERROR(SEARCH("1",E12)))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Beeker Aarón Valdéz Mattos</cp:lastModifiedBy>
  <dcterms:created xsi:type="dcterms:W3CDTF">2024-08-27T14:39:07Z</dcterms:created>
  <dcterms:modified xsi:type="dcterms:W3CDTF">2025-06-03T03:09:47Z</dcterms:modified>
</cp:coreProperties>
</file>